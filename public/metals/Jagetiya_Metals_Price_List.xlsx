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" sheetId="2" state="visible" r:id="rId2"/>
    <sheet name="EN-8D - C-45" sheetId="3" state="visible" r:id="rId3"/>
    <sheet name="EN-8" sheetId="4" state="visible" r:id="rId4"/>
    <sheet name="EN-9" sheetId="5" state="visible" r:id="rId5"/>
    <sheet name="EN-19 (4140)" sheetId="6" state="visible" r:id="rId6"/>
    <sheet name="EN-24" sheetId="7" state="visible" r:id="rId7"/>
    <sheet name="20MnCr5" sheetId="8" state="visible" r:id="rId8"/>
    <sheet name="EN-353" sheetId="9" state="visible" r:id="rId9"/>
    <sheet name="EN-31" sheetId="10" state="visible" r:id="rId10"/>
    <sheet name="WPS (D3)" sheetId="11" state="visible" r:id="rId11"/>
    <sheet name="MS" sheetId="12" state="visible" r:id="rId12"/>
    <sheet name="MS Bright" sheetId="13" state="visible" r:id="rId13"/>
    <sheet name="MS Black" sheetId="14" state="visible" r:id="rId14"/>
    <sheet name="Brass" sheetId="15" state="visible" r:id="rId15"/>
    <sheet name="Copper" sheetId="16" state="visible" r:id="rId16"/>
    <sheet name="Aluminium" sheetId="17" state="visible" r:id="rId17"/>
    <sheet name="SS 304" sheetId="18" state="visible" r:id="rId18"/>
    <sheet name="SS 304L" sheetId="19" state="visible" r:id="rId19"/>
    <sheet name="SS 316" sheetId="20" state="visible" r:id="rId20"/>
    <sheet name="SS 316L" sheetId="21" state="visible" r:id="rId21"/>
    <sheet name="SS 321" sheetId="22" state="visible" r:id="rId22"/>
    <sheet name="SS 410" sheetId="23" state="visible" r:id="rId23"/>
    <sheet name="SS 420" sheetId="24" state="visible" r:id="rId24"/>
    <sheet name="SS 430F" sheetId="25" state="visible" r:id="rId25"/>
    <sheet name="SS 431" sheetId="26" state="visible" r:id="rId26"/>
    <sheet name="SS 440C" sheetId="27" state="visible" r:id="rId27"/>
    <sheet name="SS 17-4-PH" sheetId="28" state="visible" r:id="rId28"/>
  </sheets>
  <definedNames>
    <definedName name="DailyAdj" localSheetId="27">'SS 17-4-PH'!$I$3</definedName>
    <definedName name="_xlnm._FilterDatabase" localSheetId="0" hidden="1">'Products'!$A$15:$E$42</definedName>
    <definedName name="_xlnm.Print_Titles" localSheetId="0">'Products'!$1:$15</definedName>
    <definedName name="_xlnm.Print_Titles" localSheetId="1">'EN-8D'!$1:$5</definedName>
    <definedName name="_xlnm.Print_Titles" localSheetId="2">'EN-8D - C-45'!$1:$5</definedName>
    <definedName name="_xlnm.Print_Titles" localSheetId="3">'EN-8'!$1:$5</definedName>
    <definedName name="_xlnm.Print_Titles" localSheetId="4">'EN-9'!$1:$5</definedName>
    <definedName name="_xlnm.Print_Titles" localSheetId="5">'EN-19 (4140)'!$1:$5</definedName>
    <definedName name="_xlnm.Print_Titles" localSheetId="6">'EN-24'!$1:$5</definedName>
    <definedName name="_xlnm.Print_Titles" localSheetId="7">'20MnCr5'!$1:$5</definedName>
    <definedName name="_xlnm.Print_Titles" localSheetId="8">'EN-353'!$1:$5</definedName>
    <definedName name="_xlnm.Print_Titles" localSheetId="9">'EN-31'!$1:$5</definedName>
    <definedName name="_xlnm.Print_Titles" localSheetId="10">'WPS (D3)'!$1:$5</definedName>
    <definedName name="_xlnm.Print_Titles" localSheetId="11">'MS'!$1:$5</definedName>
    <definedName name="_xlnm.Print_Titles" localSheetId="12">'MS Bright'!$1:$5</definedName>
    <definedName name="_xlnm.Print_Titles" localSheetId="13">'MS Black'!$1:$5</definedName>
    <definedName name="_xlnm.Print_Titles" localSheetId="14">'Brass'!$1:$5</definedName>
    <definedName name="_xlnm.Print_Titles" localSheetId="15">'Copper'!$1:$5</definedName>
    <definedName name="_xlnm.Print_Titles" localSheetId="16">'Aluminium'!$1:$5</definedName>
    <definedName name="_xlnm.Print_Titles" localSheetId="17">'SS 304'!$1:$5</definedName>
    <definedName name="_xlnm.Print_Titles" localSheetId="18">'SS 304L'!$1:$5</definedName>
    <definedName name="_xlnm.Print_Titles" localSheetId="19">'SS 316'!$1:$5</definedName>
    <definedName name="_xlnm.Print_Titles" localSheetId="20">'SS 316L'!$1:$5</definedName>
    <definedName name="_xlnm.Print_Titles" localSheetId="21">'SS 321'!$1:$5</definedName>
    <definedName name="_xlnm.Print_Titles" localSheetId="22">'SS 410'!$1:$5</definedName>
    <definedName name="_xlnm.Print_Titles" localSheetId="23">'SS 420'!$1:$5</definedName>
    <definedName name="_xlnm.Print_Titles" localSheetId="24">'SS 430F'!$1:$5</definedName>
    <definedName name="_xlnm.Print_Titles" localSheetId="25">'SS 431'!$1:$5</definedName>
    <definedName name="_xlnm.Print_Titles" localSheetId="26">'SS 440C'!$1:$5</definedName>
    <definedName name="_xlnm.Print_Titles" localSheetId="27">'SS 17-4-PH'!$1:$5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7D5A00"/>
      <sz val="10"/>
    </font>
    <font>
      <name val="Calibri"/>
      <i val="1"/>
      <color rgb="000F2540"/>
      <sz val="9"/>
    </font>
    <font>
      <name val="Calibri"/>
      <b val="1"/>
      <color rgb="00FFFFFF"/>
      <sz val="13"/>
    </font>
    <font>
      <name val="Calibri"/>
      <b val="1"/>
      <color rgb="001A5C32"/>
      <sz val="11"/>
    </font>
    <font>
      <name val="Calibri"/>
      <color rgb="000F2540"/>
      <sz val="8"/>
    </font>
    <font>
      <name val="Calibri"/>
      <b val="1"/>
      <color rgb="001A5C32"/>
      <sz val="10"/>
    </font>
    <font>
      <name val="Calibri"/>
      <b val="1"/>
      <color rgb="00FFFFFF"/>
      <sz val="8"/>
    </font>
    <font>
      <name val="Calibri"/>
      <i val="1"/>
      <color rgb="000F2540"/>
      <sz val="8"/>
    </font>
    <font>
      <name val="Calibri"/>
      <b val="1"/>
      <color rgb="00FFFFFF"/>
      <sz val="9"/>
    </font>
  </fonts>
  <fills count="13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FEF3CD"/>
      </patternFill>
    </fill>
    <fill>
      <patternFill patternType="solid">
        <fgColor rgb="001A5C32"/>
      </patternFill>
    </fill>
    <fill>
      <patternFill patternType="solid">
        <fgColor rgb="00E8F6EF"/>
      </patternFill>
    </fill>
    <fill>
      <patternFill patternType="solid">
        <fgColor rgb="00F4FCF8"/>
      </patternFill>
    </fill>
  </fills>
  <borders count="4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  <border>
      <left style="medium">
        <color rgb="001A5C32"/>
      </left>
      <right style="medium">
        <color rgb="001A5C32"/>
      </right>
      <top style="medium">
        <color rgb="001A5C32"/>
      </top>
      <bottom style="medium">
        <color rgb="001A5C32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9" fillId="10" borderId="3" applyAlignment="1" applyProtection="1" pivotButton="0" quotePrefix="0" xfId="0">
      <alignment horizontal="center" vertical="center" wrapText="1"/>
      <protection locked="0" hidden="0"/>
    </xf>
    <xf numFmtId="0" fontId="18" fillId="10" borderId="0" applyAlignment="1" applyProtection="1" pivotButton="0" quotePrefix="0" xfId="0">
      <alignment horizontal="center" vertical="center" wrapText="1"/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4" fillId="11" borderId="0" applyAlignment="1" applyProtection="1" pivotButton="0" quotePrefix="0" xfId="0">
      <alignment horizontal="right" vertical="center"/>
      <protection locked="0" hidden="0"/>
    </xf>
    <xf numFmtId="0" fontId="4" fillId="12" borderId="3" applyAlignment="1" applyProtection="1" pivotButton="0" quotePrefix="0" xfId="0">
      <alignment horizontal="center" vertical="center" wrapText="1"/>
      <protection locked="0" hidden="0"/>
    </xf>
    <xf numFmtId="0" fontId="16" fillId="11" borderId="0" applyAlignment="1" applyProtection="1" pivotButton="0" quotePrefix="0" xfId="0">
      <alignment horizontal="center" vertical="center" wrapText="1"/>
      <protection locked="0" hidden="0"/>
    </xf>
    <xf numFmtId="0" fontId="7" fillId="7" borderId="3" applyAlignment="1" applyProtection="1" pivotButton="0" quotePrefix="0" xfId="0">
      <alignment horizontal="center" vertical="center" wrapText="1"/>
      <protection locked="0" hidden="0"/>
    </xf>
    <xf numFmtId="0" fontId="16" fillId="11" borderId="0" applyAlignment="1" applyProtection="1" pivotButton="0" quotePrefix="0" xfId="0">
      <alignment horizontal="left" vertical="center" wrapText="1"/>
      <protection locked="0" hidden="0"/>
    </xf>
    <xf numFmtId="0" fontId="19" fillId="11" borderId="0" applyAlignment="1" applyProtection="1" pivotButton="0" quotePrefix="0" xfId="0">
      <alignment horizontal="center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3" fillId="5" borderId="1" applyAlignment="1" applyProtection="1" pivotButton="0" quotePrefix="0" xfId="0">
      <alignment horizontal="center" vertical="center" wrapText="1"/>
      <protection locked="0" hidden="0"/>
    </xf>
    <xf numFmtId="0" fontId="4" fillId="11" borderId="3" applyAlignment="1" applyProtection="1" pivotButton="0" quotePrefix="0" xfId="0">
      <alignment horizontal="right" vertical="center"/>
      <protection locked="0" hidden="0"/>
    </xf>
    <xf numFmtId="0" fontId="17" fillId="11" borderId="3" applyAlignment="1" applyProtection="1" pivotButton="0" quotePrefix="0" xfId="0">
      <alignment horizontal="center" vertical="center" wrapText="1"/>
      <protection locked="0" hidden="0"/>
    </xf>
    <xf numFmtId="0" fontId="14" fillId="2" borderId="0" applyAlignment="1" applyProtection="1" pivotButton="0" quotePrefix="0" xfId="0">
      <alignment horizontal="left" vertical="center" wrapText="1"/>
      <protection locked="0" hidden="0"/>
    </xf>
    <xf numFmtId="0" fontId="20" fillId="10" borderId="0" applyAlignment="1" applyProtection="1" pivotButton="0" quotePrefix="0" xfId="0">
      <alignment horizontal="left" vertical="center" wrapText="1"/>
      <protection locked="0" hidden="0"/>
    </xf>
    <xf numFmtId="0" fontId="5" fillId="12" borderId="2" applyAlignment="1" applyProtection="1" pivotButton="0" quotePrefix="0" xfId="0">
      <alignment horizontal="center" vertical="center" wrapText="1"/>
      <protection locked="0" hidden="0"/>
    </xf>
    <xf numFmtId="0" fontId="8" fillId="11" borderId="0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5" fillId="7" borderId="2" applyAlignment="1" applyProtection="1" pivotButton="0" quotePrefix="0" xfId="0">
      <alignment horizontal="center" vertical="center" wrapText="1"/>
      <protection locked="0" hidden="0"/>
    </xf>
    <xf numFmtId="2" fontId="15" fillId="7" borderId="2" applyAlignment="1" applyProtection="1" pivotButton="0" quotePrefix="0" xfId="0">
      <alignment horizontal="center" vertical="center" wrapText="1"/>
      <protection locked="0" hidden="0"/>
    </xf>
    <xf numFmtId="0" fontId="12" fillId="7" borderId="2" applyAlignment="1" applyProtection="1" pivotButton="0" quotePrefix="0" xfId="0">
      <alignment horizontal="left" vertical="center" wrapText="1"/>
      <protection locked="0" hidden="0"/>
    </xf>
    <xf numFmtId="0" fontId="8" fillId="8" borderId="2" applyAlignment="1" applyProtection="1" pivotButton="0" quotePrefix="0" xfId="0">
      <alignment horizontal="left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5" fillId="8" borderId="2" applyAlignment="1" applyProtection="1" pivotButton="0" quotePrefix="0" xfId="0">
      <alignment horizontal="center" vertical="center" wrapText="1"/>
      <protection locked="0" hidden="0"/>
    </xf>
    <xf numFmtId="2" fontId="15" fillId="8" borderId="2" applyAlignment="1" applyProtection="1" pivotButton="0" quotePrefix="0" xfId="0">
      <alignment horizontal="center" vertical="center" wrapText="1"/>
      <protection locked="0" hidden="0"/>
    </xf>
    <xf numFmtId="0" fontId="12" fillId="8" borderId="2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omments/comment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8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19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0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1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2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3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4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5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6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comments/comment27.xml><?xml version="1.0" encoding="utf-8"?>
<comments xmlns="http://schemas.openxmlformats.org/spreadsheetml/2006/main">
  <authors>
    <author>Jagetiya Metals</author>
  </authors>
  <commentList>
    <comment ref="L1" authorId="0" shapeId="0">
      <text>
        <t>Press Enter after filling dimensions; the size appears in that shape's section on THIS sheet if it is new.
Round / Hex / Non-Ferrous: SIZE (mm) only.
Square: THICKNESS (Side) and optional WIDTH. Blank width adds the Side; both add TxW.
Flat: THICKNESS and WIDTH required (6 and 25 → 6x25).
Duplicates are skipped within that shape section (25 = 25.0, 6x25 = 6 x 25).</t>
      </text>
    </comment>
    <comment ref="M2" authorId="0" shapeId="0">
      <text>
        <t>Defaults to the first shape on this sheet. Changing Shape adds the size into that shape's section on THIS same sheet (not another tab).</t>
      </text>
    </comment>
    <comment ref="I3" authorId="0" shapeId="0">
      <text>
        <t>Type today's market move here (example: 1 or -2).
Every Selling Price on this sheet = Base Price + this cell.
Base prices do not change. The delta does not compound.</t>
      </text>
    </comment>
    <comment ref="M3" authorId="0" shapeId="0">
      <text>
        <t>Round / Hex / Non-Ferrous: type SIZE (mm) and press Enter.</t>
      </text>
    </comment>
    <comment ref="M4" authorId="0" shapeId="0">
      <text>
        <t>Square: Thickness is the Side if Width is blank. Flat: required with Width.</t>
      </text>
    </comment>
    <comment ref="O4" authorId="0" shapeId="0">
      <text>
        <t>Square: optional (blank = Side only; both = TxW). Flat: required, e.g. 6 and 25 → 6x25.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'!A1" TargetMode="External" Id="rId1" /><Relationship Type="http://schemas.openxmlformats.org/officeDocument/2006/relationships/hyperlink" Target="#'EN-8D - C-45'!A1" TargetMode="External" Id="rId2" /><Relationship Type="http://schemas.openxmlformats.org/officeDocument/2006/relationships/hyperlink" Target="#'EN-8'!A1" TargetMode="External" Id="rId3" /><Relationship Type="http://schemas.openxmlformats.org/officeDocument/2006/relationships/hyperlink" Target="#'EN-9'!A1" TargetMode="External" Id="rId4" /><Relationship Type="http://schemas.openxmlformats.org/officeDocument/2006/relationships/hyperlink" Target="#'EN-19 (4140)'!A1" TargetMode="External" Id="rId5" /><Relationship Type="http://schemas.openxmlformats.org/officeDocument/2006/relationships/hyperlink" Target="#'EN-24'!A1" TargetMode="External" Id="rId6" /><Relationship Type="http://schemas.openxmlformats.org/officeDocument/2006/relationships/hyperlink" Target="#'20MnCr5'!A1" TargetMode="External" Id="rId7" /><Relationship Type="http://schemas.openxmlformats.org/officeDocument/2006/relationships/hyperlink" Target="#'EN-353'!A1" TargetMode="External" Id="rId8" /><Relationship Type="http://schemas.openxmlformats.org/officeDocument/2006/relationships/hyperlink" Target="#'EN-31'!A1" TargetMode="External" Id="rId9" /><Relationship Type="http://schemas.openxmlformats.org/officeDocument/2006/relationships/hyperlink" Target="#'WPS (D3)'!A1" TargetMode="External" Id="rId10" /><Relationship Type="http://schemas.openxmlformats.org/officeDocument/2006/relationships/hyperlink" Target="#'MS'!A1" TargetMode="External" Id="rId11" /><Relationship Type="http://schemas.openxmlformats.org/officeDocument/2006/relationships/hyperlink" Target="#'MS Bright'!A1" TargetMode="External" Id="rId12" /><Relationship Type="http://schemas.openxmlformats.org/officeDocument/2006/relationships/hyperlink" Target="#'MS Black'!A1" TargetMode="External" Id="rId13" /><Relationship Type="http://schemas.openxmlformats.org/officeDocument/2006/relationships/hyperlink" Target="#'Brass'!A1" TargetMode="External" Id="rId14" /><Relationship Type="http://schemas.openxmlformats.org/officeDocument/2006/relationships/hyperlink" Target="#'Copper'!A1" TargetMode="External" Id="rId15" /><Relationship Type="http://schemas.openxmlformats.org/officeDocument/2006/relationships/hyperlink" Target="#'Aluminium'!A1" TargetMode="External" Id="rId16" /><Relationship Type="http://schemas.openxmlformats.org/officeDocument/2006/relationships/hyperlink" Target="#'SS 304'!A1" TargetMode="External" Id="rId17" /><Relationship Type="http://schemas.openxmlformats.org/officeDocument/2006/relationships/hyperlink" Target="#'SS 304L'!A1" TargetMode="External" Id="rId18" /><Relationship Type="http://schemas.openxmlformats.org/officeDocument/2006/relationships/hyperlink" Target="#'SS 316'!A1" TargetMode="External" Id="rId19" /><Relationship Type="http://schemas.openxmlformats.org/officeDocument/2006/relationships/hyperlink" Target="#'SS 316L'!A1" TargetMode="External" Id="rId20" /><Relationship Type="http://schemas.openxmlformats.org/officeDocument/2006/relationships/hyperlink" Target="#'SS 321'!A1" TargetMode="External" Id="rId21" /><Relationship Type="http://schemas.openxmlformats.org/officeDocument/2006/relationships/hyperlink" Target="#'SS 410'!A1" TargetMode="External" Id="rId22" /><Relationship Type="http://schemas.openxmlformats.org/officeDocument/2006/relationships/hyperlink" Target="#'SS 420'!A1" TargetMode="External" Id="rId23" /><Relationship Type="http://schemas.openxmlformats.org/officeDocument/2006/relationships/hyperlink" Target="#'SS 430F'!A1" TargetMode="External" Id="rId24" /><Relationship Type="http://schemas.openxmlformats.org/officeDocument/2006/relationships/hyperlink" Target="#'SS 431'!A1" TargetMode="External" Id="rId25" /><Relationship Type="http://schemas.openxmlformats.org/officeDocument/2006/relationships/hyperlink" Target="#'SS 440C'!A1" TargetMode="External" Id="rId26" /><Relationship Type="http://schemas.openxmlformats.org/officeDocument/2006/relationships/hyperlink" Target="#'SS 17-4-PH'!A1" TargetMode="External" Id="rId27" /></Relationships>
</file>

<file path=xl/worksheets/_rels/sheet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46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8" customWidth="1" min="3" max="3"/>
    <col width="14" customWidth="1" min="4" max="4"/>
    <col width="22" customWidth="1" min="5" max="5"/>
    <col width="16" customWidth="1" min="6" max="6"/>
    <col width="12" customWidth="1" min="7" max="7"/>
    <col width="22" customWidth="1" min="8" max="8"/>
    <col width="16" customWidth="1" min="9" max="9"/>
    <col width="16" customWidth="1" min="10" max="10"/>
  </cols>
  <sheetData>
    <row r="1" ht="32" customHeight="1">
      <c r="A1" s="1" t="inlineStr">
        <is>
          <t>Jagetiya Metals — Product Price List</t>
        </is>
      </c>
      <c r="B1" s="1" t="n"/>
      <c r="C1" s="1" t="n"/>
      <c r="D1" s="1" t="n"/>
      <c r="E1" s="1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Jagetiya Metals  ·  +91-9824012344  ·  Kamlesh@jkmetal.in  ·  502/1-A G.I.D.C., Makarpura, Vadodara  ·  GST 24AGIPS3207M1Z7</t>
        </is>
      </c>
      <c r="B2" s="3" t="n"/>
      <c r="C2" s="3" t="n"/>
      <c r="D2" s="3" t="n"/>
      <c r="E2" s="3" t="n"/>
      <c r="F2" s="2" t="n"/>
      <c r="G2" s="2" t="n"/>
      <c r="H2" s="2" t="n"/>
      <c r="I2" s="2" t="n"/>
      <c r="J2" s="2" t="n"/>
      <c r="K2" s="2" t="n"/>
      <c r="L2" s="2" t="n"/>
    </row>
    <row r="3" ht="20" customHeight="1">
      <c r="A3" s="4" t="inlineStr">
        <is>
          <t>Fully editable workbook — no sheet protection, no locked cells, no password. One sheet per grade: Round, Square, Hex, and Flat for that grade live together.</t>
        </is>
      </c>
      <c r="B3" s="4" t="n"/>
      <c r="C3" s="4" t="n"/>
      <c r="D3" s="4" t="n"/>
      <c r="E3" s="4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5" t="inlineStr">
        <is>
          <t>How to use today's rates</t>
        </is>
      </c>
      <c r="B5" s="5" t="n"/>
      <c r="C5" s="5" t="n"/>
      <c r="D5" s="5" t="n"/>
      <c r="E5" s="5" t="n"/>
      <c r="F5" s="2" t="n"/>
      <c r="G5" s="2" t="n"/>
      <c r="H5" s="6" t="inlineStr">
        <is>
          <t>MASTER DAILY ADJUSTMENT (optional)</t>
        </is>
      </c>
      <c r="I5" s="6" t="n"/>
      <c r="J5" s="6" t="n"/>
      <c r="K5" s="2" t="n"/>
      <c r="L5" s="2" t="n"/>
    </row>
    <row r="6" ht="18" customHeight="1">
      <c r="A6" s="7" t="inlineStr">
        <is>
          <t>1. Open the grade sheet (click a name below, or the tabs at the bottom). Example: MS Bright has Square, Hex, and Flat on one tab.</t>
        </is>
      </c>
      <c r="B6" s="7" t="n"/>
      <c r="C6" s="7" t="n"/>
      <c r="D6" s="7" t="n"/>
      <c r="E6" s="7" t="n"/>
      <c r="F6" s="2" t="n"/>
      <c r="G6" s="2" t="n"/>
      <c r="H6" s="8" t="inlineStr">
        <is>
          <t>Copy this number into each grade sheet's yellow I3 box only if the same change applies. Grade sheets do NOT share this cell — each grade can move on its own.</t>
        </is>
      </c>
      <c r="I6" s="8" t="n"/>
      <c r="J6" s="8" t="n"/>
      <c r="K6" s="2" t="n"/>
      <c r="L6" s="2" t="n"/>
    </row>
    <row r="7" ht="18" customHeight="1">
      <c r="A7" s="7" t="inlineStr">
        <is>
          <t>2. Put today's daily change in the yellow Daily Adjustment box on the RIGHT of that sheet (cell I3).</t>
        </is>
      </c>
      <c r="B7" s="7" t="n"/>
      <c r="C7" s="7" t="n"/>
      <c r="D7" s="7" t="n"/>
      <c r="E7" s="7" t="n"/>
      <c r="F7" s="2" t="n"/>
      <c r="G7" s="2" t="n"/>
      <c r="H7" s="8" t="n"/>
      <c r="I7" s="8" t="n"/>
      <c r="J7" s="8" t="n"/>
      <c r="K7" s="2" t="n"/>
      <c r="L7" s="2" t="n"/>
    </row>
    <row r="8" ht="18" customHeight="1">
      <c r="A8" s="7" t="inlineStr">
        <is>
          <t>3. Every size of every shape on that sheet updates: Selling Price = Base Price + Daily Adjustment.</t>
        </is>
      </c>
      <c r="B8" s="7" t="n"/>
      <c r="C8" s="7" t="n"/>
      <c r="D8" s="7" t="n"/>
      <c r="E8" s="7" t="n"/>
      <c r="F8" s="2" t="n"/>
      <c r="G8" s="2" t="n"/>
      <c r="H8" s="9" t="inlineStr">
        <is>
          <t>Copy-from value</t>
        </is>
      </c>
      <c r="I8" s="10" t="n">
        <v>0</v>
      </c>
      <c r="J8" s="11" t="inlineStr">
        <is>
          <t>Rs/kg</t>
        </is>
      </c>
      <c r="K8" s="2" t="n"/>
      <c r="L8" s="2" t="n"/>
    </row>
    <row r="9" ht="18" customHeight="1">
      <c r="A9" s="7" t="inlineStr">
        <is>
          <t>4. Type 1 to add Rs 1/kg to every size. Type -2 to reduce Rs 2/kg. Leave 0 for no change.</t>
        </is>
      </c>
      <c r="B9" s="7" t="n"/>
      <c r="C9" s="7" t="n"/>
      <c r="D9" s="7" t="n"/>
      <c r="E9" s="7" t="n"/>
      <c r="F9" s="2" t="n"/>
      <c r="G9" s="2" t="n"/>
      <c r="H9" s="12" t="inlineStr">
        <is>
          <t>This cell is a notepad only. It does not drive grade selling prices.</t>
        </is>
      </c>
      <c r="I9" s="12" t="n"/>
      <c r="J9" s="12" t="n"/>
      <c r="K9" s="2" t="n"/>
      <c r="L9" s="2" t="n"/>
    </row>
    <row r="10" ht="18" customHeight="1">
      <c r="A10" s="7" t="inlineStr">
        <is>
          <t>5. Edit Base Price anytime — that is the stored rate. Daily Adjustment never overwrites it, and does not compound.</t>
        </is>
      </c>
      <c r="B10" s="7" t="n"/>
      <c r="C10" s="7" t="n"/>
      <c r="D10" s="7" t="n"/>
      <c r="E10" s="7" t="n"/>
      <c r="F10" s="2" t="n"/>
      <c r="G10" s="2" t="n"/>
      <c r="H10" s="12" t="n"/>
      <c r="I10" s="12" t="n"/>
      <c r="J10" s="12" t="n"/>
      <c r="K10" s="2" t="n"/>
      <c r="L10" s="2" t="n"/>
    </row>
    <row r="11" ht="18" customHeight="1">
      <c r="A11" s="7" t="inlineStr">
        <is>
          <t>6. Each grade has its own box so different grades can move independently. The yellow box on this sheet is only a copy-from hint.</t>
        </is>
      </c>
      <c r="B11" s="7" t="n"/>
      <c r="C11" s="7" t="n"/>
      <c r="D11" s="7" t="n"/>
      <c r="E11" s="7" t="n"/>
      <c r="F11" s="2" t="n"/>
      <c r="G11" s="2" t="n"/>
      <c r="H11" s="12" t="n"/>
      <c r="I11" s="12" t="n"/>
      <c r="J11" s="12" t="n"/>
      <c r="K11" s="2" t="n"/>
      <c r="L11" s="2" t="n"/>
    </row>
    <row r="12" ht="18" customHeight="1">
      <c r="A12" s="7" t="inlineStr">
        <is>
          <t>7. To add a size: use the green Add Size box. Pick the shape (Round / Square / Hex / Flat), fill SIZE or THICKNESS+WIDTH, press Enter.</t>
        </is>
      </c>
      <c r="B12" s="7" t="n"/>
      <c r="C12" s="7" t="n"/>
      <c r="D12" s="7" t="n"/>
      <c r="E12" s="7" t="n"/>
      <c r="F12" s="2" t="n"/>
      <c r="G12" s="2" t="n"/>
      <c r="H12" s="2" t="n"/>
      <c r="I12" s="2" t="n"/>
      <c r="J12" s="2" t="n"/>
      <c r="K12" s="2" t="n"/>
      <c r="L12" s="2" t="n"/>
    </row>
    <row r="13" ht="18" customHeight="1">
      <c r="A13" s="7" t="inlineStr">
        <is>
          <t>8. The size appears in that shape's section on THIS sheet if it is new. Duplicates within that section are skipped (25 = 25.0, 6x25 = 6 x 25).</t>
        </is>
      </c>
      <c r="B13" s="7" t="n"/>
      <c r="C13" s="7" t="n"/>
      <c r="D13" s="7" t="n"/>
      <c r="E13" s="7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2" customHeight="1">
      <c r="A15" s="13" t="inlineStr">
        <is>
          <t>#</t>
        </is>
      </c>
      <c r="B15" s="13" t="inlineStr">
        <is>
          <t>Grade</t>
        </is>
      </c>
      <c r="C15" s="13" t="inlineStr">
        <is>
          <t>Shapes on this sheet</t>
        </is>
      </c>
      <c r="D15" s="13" t="inlineStr">
        <is>
          <t>Size count</t>
        </is>
      </c>
      <c r="E15" s="13" t="inlineStr">
        <is>
          <t>Sheet name</t>
        </is>
      </c>
      <c r="F15" s="2" t="n"/>
      <c r="G15" s="2" t="n"/>
      <c r="H15" s="2" t="n"/>
      <c r="I15" s="2" t="n"/>
      <c r="J15" s="2" t="n"/>
      <c r="K15" s="2" t="n"/>
      <c r="L15" s="2" t="n"/>
    </row>
    <row r="16">
      <c r="A16" s="14" t="n">
        <v>1</v>
      </c>
      <c r="B16" s="15" t="inlineStr">
        <is>
          <t>EN-8D</t>
        </is>
      </c>
      <c r="C16" s="16" t="inlineStr">
        <is>
          <t>Round Bar</t>
        </is>
      </c>
      <c r="D16" s="14" t="n">
        <v>53</v>
      </c>
      <c r="E16" s="17" t="inlineStr">
        <is>
          <t>EN-8D</t>
        </is>
      </c>
      <c r="F16" s="2" t="n"/>
      <c r="G16" s="2" t="n"/>
      <c r="H16" s="2" t="n"/>
      <c r="I16" s="2" t="n"/>
      <c r="J16" s="2" t="n"/>
      <c r="K16" s="2" t="n"/>
      <c r="L16" s="2" t="n"/>
    </row>
    <row r="17">
      <c r="A17" s="18" t="n">
        <v>2</v>
      </c>
      <c r="B17" s="19" t="inlineStr">
        <is>
          <t>EN-8D / C-45</t>
        </is>
      </c>
      <c r="C17" s="20" t="inlineStr">
        <is>
          <t>Round Bar</t>
        </is>
      </c>
      <c r="D17" s="18" t="n">
        <v>15</v>
      </c>
      <c r="E17" s="21" t="inlineStr">
        <is>
          <t>EN-8D - C-45</t>
        </is>
      </c>
      <c r="F17" s="2" t="n"/>
      <c r="G17" s="2" t="n"/>
      <c r="H17" s="2" t="n"/>
      <c r="I17" s="2" t="n"/>
      <c r="J17" s="2" t="n"/>
      <c r="K17" s="2" t="n"/>
      <c r="L17" s="2" t="n"/>
    </row>
    <row r="18">
      <c r="A18" s="14" t="n">
        <v>3</v>
      </c>
      <c r="B18" s="15" t="inlineStr">
        <is>
          <t>EN-8</t>
        </is>
      </c>
      <c r="C18" s="16" t="inlineStr">
        <is>
          <t>Round Bar · Square Bar · Flat Bar</t>
        </is>
      </c>
      <c r="D18" s="14" t="n">
        <v>114</v>
      </c>
      <c r="E18" s="17" t="inlineStr">
        <is>
          <t>EN-8</t>
        </is>
      </c>
      <c r="F18" s="2" t="n"/>
      <c r="G18" s="2" t="n"/>
      <c r="H18" s="2" t="n"/>
      <c r="I18" s="2" t="n"/>
      <c r="J18" s="2" t="n"/>
      <c r="K18" s="2" t="n"/>
      <c r="L18" s="2" t="n"/>
    </row>
    <row r="19">
      <c r="A19" s="18" t="n">
        <v>4</v>
      </c>
      <c r="B19" s="19" t="inlineStr">
        <is>
          <t>EN-9</t>
        </is>
      </c>
      <c r="C19" s="20" t="inlineStr">
        <is>
          <t>Round Bar</t>
        </is>
      </c>
      <c r="D19" s="18" t="n">
        <v>52</v>
      </c>
      <c r="E19" s="21" t="inlineStr">
        <is>
          <t>EN-9</t>
        </is>
      </c>
      <c r="F19" s="2" t="n"/>
      <c r="G19" s="2" t="n"/>
      <c r="H19" s="2" t="n"/>
      <c r="I19" s="2" t="n"/>
      <c r="J19" s="2" t="n"/>
      <c r="K19" s="2" t="n"/>
      <c r="L19" s="2" t="n"/>
    </row>
    <row r="20">
      <c r="A20" s="14" t="n">
        <v>5</v>
      </c>
      <c r="B20" s="15" t="inlineStr">
        <is>
          <t>EN-19 (4140)</t>
        </is>
      </c>
      <c r="C20" s="16" t="inlineStr">
        <is>
          <t>Round Bar</t>
        </is>
      </c>
      <c r="D20" s="14" t="n">
        <v>61</v>
      </c>
      <c r="E20" s="17" t="inlineStr">
        <is>
          <t>EN-19 (4140)</t>
        </is>
      </c>
      <c r="F20" s="2" t="n"/>
      <c r="G20" s="2" t="n"/>
      <c r="H20" s="2" t="n"/>
      <c r="I20" s="2" t="n"/>
      <c r="J20" s="2" t="n"/>
      <c r="K20" s="2" t="n"/>
      <c r="L20" s="2" t="n"/>
    </row>
    <row r="21">
      <c r="A21" s="18" t="n">
        <v>6</v>
      </c>
      <c r="B21" s="19" t="inlineStr">
        <is>
          <t>EN-24</t>
        </is>
      </c>
      <c r="C21" s="20" t="inlineStr">
        <is>
          <t>Round Bar</t>
        </is>
      </c>
      <c r="D21" s="18" t="n">
        <v>61</v>
      </c>
      <c r="E21" s="21" t="inlineStr">
        <is>
          <t>EN-24</t>
        </is>
      </c>
      <c r="F21" s="2" t="n"/>
      <c r="G21" s="2" t="n"/>
      <c r="H21" s="2" t="n"/>
      <c r="I21" s="2" t="n"/>
      <c r="J21" s="2" t="n"/>
      <c r="K21" s="2" t="n"/>
      <c r="L21" s="2" t="n"/>
    </row>
    <row r="22">
      <c r="A22" s="14" t="n">
        <v>7</v>
      </c>
      <c r="B22" s="15" t="inlineStr">
        <is>
          <t>20MnCr5</t>
        </is>
      </c>
      <c r="C22" s="16" t="inlineStr">
        <is>
          <t>Round Bar</t>
        </is>
      </c>
      <c r="D22" s="14" t="n">
        <v>61</v>
      </c>
      <c r="E22" s="17" t="inlineStr">
        <is>
          <t>20MnCr5</t>
        </is>
      </c>
      <c r="F22" s="2" t="n"/>
      <c r="G22" s="2" t="n"/>
      <c r="H22" s="2" t="n"/>
      <c r="I22" s="2" t="n"/>
      <c r="J22" s="2" t="n"/>
      <c r="K22" s="2" t="n"/>
      <c r="L22" s="2" t="n"/>
    </row>
    <row r="23">
      <c r="A23" s="18" t="n">
        <v>8</v>
      </c>
      <c r="B23" s="19" t="inlineStr">
        <is>
          <t>EN-353</t>
        </is>
      </c>
      <c r="C23" s="20" t="inlineStr">
        <is>
          <t>Round Bar</t>
        </is>
      </c>
      <c r="D23" s="18" t="n">
        <v>52</v>
      </c>
      <c r="E23" s="21" t="inlineStr">
        <is>
          <t>EN-353</t>
        </is>
      </c>
      <c r="F23" s="2" t="n"/>
      <c r="G23" s="2" t="n"/>
      <c r="H23" s="2" t="n"/>
      <c r="I23" s="2" t="n"/>
      <c r="J23" s="2" t="n"/>
      <c r="K23" s="2" t="n"/>
      <c r="L23" s="2" t="n"/>
    </row>
    <row r="24">
      <c r="A24" s="14" t="n">
        <v>9</v>
      </c>
      <c r="B24" s="15" t="inlineStr">
        <is>
          <t>EN-31</t>
        </is>
      </c>
      <c r="C24" s="16" t="inlineStr">
        <is>
          <t>Round Bar</t>
        </is>
      </c>
      <c r="D24" s="14" t="n">
        <v>66</v>
      </c>
      <c r="E24" s="17" t="inlineStr">
        <is>
          <t>EN-31</t>
        </is>
      </c>
      <c r="F24" s="2" t="n"/>
      <c r="G24" s="2" t="n"/>
      <c r="H24" s="2" t="n"/>
      <c r="I24" s="2" t="n"/>
      <c r="J24" s="2" t="n"/>
      <c r="K24" s="2" t="n"/>
      <c r="L24" s="2" t="n"/>
    </row>
    <row r="25">
      <c r="A25" s="18" t="n">
        <v>10</v>
      </c>
      <c r="B25" s="19" t="inlineStr">
        <is>
          <t>WPS (D3)</t>
        </is>
      </c>
      <c r="C25" s="20" t="inlineStr">
        <is>
          <t>Round Bar · Square Bar · Flat Bar</t>
        </is>
      </c>
      <c r="D25" s="18" t="n">
        <v>171</v>
      </c>
      <c r="E25" s="21" t="inlineStr">
        <is>
          <t>WPS (D3)</t>
        </is>
      </c>
      <c r="F25" s="2" t="n"/>
      <c r="G25" s="2" t="n"/>
      <c r="H25" s="2" t="n"/>
      <c r="I25" s="2" t="n"/>
      <c r="J25" s="2" t="n"/>
      <c r="K25" s="2" t="n"/>
      <c r="L25" s="2" t="n"/>
    </row>
    <row r="26">
      <c r="A26" s="14" t="n">
        <v>11</v>
      </c>
      <c r="B26" s="15" t="inlineStr">
        <is>
          <t>MS</t>
        </is>
      </c>
      <c r="C26" s="16" t="inlineStr">
        <is>
          <t>Round Bar</t>
        </is>
      </c>
      <c r="D26" s="14" t="n">
        <v>85</v>
      </c>
      <c r="E26" s="17" t="inlineStr">
        <is>
          <t>MS</t>
        </is>
      </c>
      <c r="F26" s="2" t="n"/>
      <c r="G26" s="2" t="n"/>
      <c r="H26" s="2" t="n"/>
      <c r="I26" s="2" t="n"/>
      <c r="J26" s="2" t="n"/>
      <c r="K26" s="2" t="n"/>
      <c r="L26" s="2" t="n"/>
    </row>
    <row r="27">
      <c r="A27" s="18" t="n">
        <v>12</v>
      </c>
      <c r="B27" s="19" t="inlineStr">
        <is>
          <t>MS Bright</t>
        </is>
      </c>
      <c r="C27" s="20" t="inlineStr">
        <is>
          <t>Square Bar · Hex Bar · Flat Bar</t>
        </is>
      </c>
      <c r="D27" s="18" t="n">
        <v>116</v>
      </c>
      <c r="E27" s="21" t="inlineStr">
        <is>
          <t>MS Bright</t>
        </is>
      </c>
      <c r="F27" s="2" t="n"/>
      <c r="G27" s="2" t="n"/>
      <c r="H27" s="2" t="n"/>
      <c r="I27" s="2" t="n"/>
      <c r="J27" s="2" t="n"/>
      <c r="K27" s="2" t="n"/>
      <c r="L27" s="2" t="n"/>
    </row>
    <row r="28">
      <c r="A28" s="14" t="n">
        <v>13</v>
      </c>
      <c r="B28" s="15" t="inlineStr">
        <is>
          <t>MS Black</t>
        </is>
      </c>
      <c r="C28" s="16" t="inlineStr">
        <is>
          <t>Flat Bar</t>
        </is>
      </c>
      <c r="D28" s="14" t="n">
        <v>21</v>
      </c>
      <c r="E28" s="17" t="inlineStr">
        <is>
          <t>MS Black</t>
        </is>
      </c>
      <c r="F28" s="2" t="n"/>
      <c r="G28" s="2" t="n"/>
      <c r="H28" s="2" t="n"/>
      <c r="I28" s="2" t="n"/>
      <c r="J28" s="2" t="n"/>
      <c r="K28" s="2" t="n"/>
      <c r="L28" s="2" t="n"/>
    </row>
    <row r="29">
      <c r="A29" s="18" t="n">
        <v>14</v>
      </c>
      <c r="B29" s="19" t="inlineStr">
        <is>
          <t>Brass</t>
        </is>
      </c>
      <c r="C29" s="20" t="inlineStr">
        <is>
          <t>Non-Ferrous</t>
        </is>
      </c>
      <c r="D29" s="18" t="n">
        <v>0</v>
      </c>
      <c r="E29" s="21" t="inlineStr">
        <is>
          <t>Brass</t>
        </is>
      </c>
      <c r="F29" s="2" t="n"/>
      <c r="G29" s="2" t="n"/>
      <c r="H29" s="2" t="n"/>
      <c r="I29" s="2" t="n"/>
      <c r="J29" s="2" t="n"/>
      <c r="K29" s="2" t="n"/>
      <c r="L29" s="2" t="n"/>
    </row>
    <row r="30">
      <c r="A30" s="14" t="n">
        <v>15</v>
      </c>
      <c r="B30" s="15" t="inlineStr">
        <is>
          <t>Copper</t>
        </is>
      </c>
      <c r="C30" s="16" t="inlineStr">
        <is>
          <t>Non-Ferrous</t>
        </is>
      </c>
      <c r="D30" s="14" t="n">
        <v>0</v>
      </c>
      <c r="E30" s="17" t="inlineStr">
        <is>
          <t>Copper</t>
        </is>
      </c>
      <c r="F30" s="2" t="n"/>
      <c r="G30" s="2" t="n"/>
      <c r="H30" s="2" t="n"/>
      <c r="I30" s="2" t="n"/>
      <c r="J30" s="2" t="n"/>
      <c r="K30" s="2" t="n"/>
      <c r="L30" s="2" t="n"/>
    </row>
    <row r="31">
      <c r="A31" s="18" t="n">
        <v>16</v>
      </c>
      <c r="B31" s="19" t="inlineStr">
        <is>
          <t>Aluminium</t>
        </is>
      </c>
      <c r="C31" s="20" t="inlineStr">
        <is>
          <t>Non-Ferrous</t>
        </is>
      </c>
      <c r="D31" s="18" t="n">
        <v>0</v>
      </c>
      <c r="E31" s="21" t="inlineStr">
        <is>
          <t>Aluminium</t>
        </is>
      </c>
      <c r="F31" s="2" t="n"/>
      <c r="G31" s="2" t="n"/>
      <c r="H31" s="2" t="n"/>
      <c r="I31" s="2" t="n"/>
      <c r="J31" s="2" t="n"/>
      <c r="K31" s="2" t="n"/>
      <c r="L31" s="2" t="n"/>
    </row>
    <row r="32">
      <c r="A32" s="14" t="n">
        <v>17</v>
      </c>
      <c r="B32" s="15" t="inlineStr">
        <is>
          <t>SS 304</t>
        </is>
      </c>
      <c r="C32" s="16" t="inlineStr">
        <is>
          <t>Non-Ferrous</t>
        </is>
      </c>
      <c r="D32" s="14" t="n">
        <v>0</v>
      </c>
      <c r="E32" s="17" t="inlineStr">
        <is>
          <t>SS 304</t>
        </is>
      </c>
      <c r="F32" s="2" t="n"/>
      <c r="G32" s="2" t="n"/>
      <c r="H32" s="2" t="n"/>
      <c r="I32" s="2" t="n"/>
      <c r="J32" s="2" t="n"/>
      <c r="K32" s="2" t="n"/>
      <c r="L32" s="2" t="n"/>
    </row>
    <row r="33">
      <c r="A33" s="18" t="n">
        <v>18</v>
      </c>
      <c r="B33" s="19" t="inlineStr">
        <is>
          <t>SS 304L</t>
        </is>
      </c>
      <c r="C33" s="20" t="inlineStr">
        <is>
          <t>Non-Ferrous</t>
        </is>
      </c>
      <c r="D33" s="18" t="n">
        <v>0</v>
      </c>
      <c r="E33" s="21" t="inlineStr">
        <is>
          <t>SS 304L</t>
        </is>
      </c>
      <c r="F33" s="2" t="n"/>
      <c r="G33" s="2" t="n"/>
      <c r="H33" s="2" t="n"/>
      <c r="I33" s="2" t="n"/>
      <c r="J33" s="2" t="n"/>
      <c r="K33" s="2" t="n"/>
      <c r="L33" s="2" t="n"/>
    </row>
    <row r="34">
      <c r="A34" s="14" t="n">
        <v>19</v>
      </c>
      <c r="B34" s="15" t="inlineStr">
        <is>
          <t>SS 316</t>
        </is>
      </c>
      <c r="C34" s="16" t="inlineStr">
        <is>
          <t>Non-Ferrous</t>
        </is>
      </c>
      <c r="D34" s="14" t="n">
        <v>0</v>
      </c>
      <c r="E34" s="17" t="inlineStr">
        <is>
          <t>SS 316</t>
        </is>
      </c>
      <c r="F34" s="2" t="n"/>
      <c r="G34" s="2" t="n"/>
      <c r="H34" s="2" t="n"/>
      <c r="I34" s="2" t="n"/>
      <c r="J34" s="2" t="n"/>
      <c r="K34" s="2" t="n"/>
      <c r="L34" s="2" t="n"/>
    </row>
    <row r="35">
      <c r="A35" s="18" t="n">
        <v>20</v>
      </c>
      <c r="B35" s="19" t="inlineStr">
        <is>
          <t>SS 316L</t>
        </is>
      </c>
      <c r="C35" s="20" t="inlineStr">
        <is>
          <t>Non-Ferrous</t>
        </is>
      </c>
      <c r="D35" s="18" t="n">
        <v>0</v>
      </c>
      <c r="E35" s="21" t="inlineStr">
        <is>
          <t>SS 316L</t>
        </is>
      </c>
      <c r="F35" s="2" t="n"/>
      <c r="G35" s="2" t="n"/>
      <c r="H35" s="2" t="n"/>
      <c r="I35" s="2" t="n"/>
      <c r="J35" s="2" t="n"/>
      <c r="K35" s="2" t="n"/>
      <c r="L35" s="2" t="n"/>
    </row>
    <row r="36">
      <c r="A36" s="14" t="n">
        <v>21</v>
      </c>
      <c r="B36" s="15" t="inlineStr">
        <is>
          <t>SS 321</t>
        </is>
      </c>
      <c r="C36" s="16" t="inlineStr">
        <is>
          <t>Non-Ferrous</t>
        </is>
      </c>
      <c r="D36" s="14" t="n">
        <v>0</v>
      </c>
      <c r="E36" s="17" t="inlineStr">
        <is>
          <t>SS 321</t>
        </is>
      </c>
      <c r="F36" s="2" t="n"/>
      <c r="G36" s="2" t="n"/>
      <c r="H36" s="2" t="n"/>
      <c r="I36" s="2" t="n"/>
      <c r="J36" s="2" t="n"/>
      <c r="K36" s="2" t="n"/>
      <c r="L36" s="2" t="n"/>
    </row>
    <row r="37">
      <c r="A37" s="18" t="n">
        <v>22</v>
      </c>
      <c r="B37" s="19" t="inlineStr">
        <is>
          <t>SS 410</t>
        </is>
      </c>
      <c r="C37" s="20" t="inlineStr">
        <is>
          <t>Non-Ferrous</t>
        </is>
      </c>
      <c r="D37" s="18" t="n">
        <v>0</v>
      </c>
      <c r="E37" s="21" t="inlineStr">
        <is>
          <t>SS 410</t>
        </is>
      </c>
      <c r="F37" s="2" t="n"/>
      <c r="G37" s="2" t="n"/>
      <c r="H37" s="2" t="n"/>
      <c r="I37" s="2" t="n"/>
      <c r="J37" s="2" t="n"/>
      <c r="K37" s="2" t="n"/>
      <c r="L37" s="2" t="n"/>
    </row>
    <row r="38">
      <c r="A38" s="14" t="n">
        <v>23</v>
      </c>
      <c r="B38" s="15" t="inlineStr">
        <is>
          <t>SS 420</t>
        </is>
      </c>
      <c r="C38" s="16" t="inlineStr">
        <is>
          <t>Non-Ferrous</t>
        </is>
      </c>
      <c r="D38" s="14" t="n">
        <v>0</v>
      </c>
      <c r="E38" s="17" t="inlineStr">
        <is>
          <t>SS 420</t>
        </is>
      </c>
      <c r="F38" s="2" t="n"/>
      <c r="G38" s="2" t="n"/>
      <c r="H38" s="2" t="n"/>
      <c r="I38" s="2" t="n"/>
      <c r="J38" s="2" t="n"/>
      <c r="K38" s="2" t="n"/>
      <c r="L38" s="2" t="n"/>
    </row>
    <row r="39">
      <c r="A39" s="18" t="n">
        <v>24</v>
      </c>
      <c r="B39" s="19" t="inlineStr">
        <is>
          <t>SS 430F</t>
        </is>
      </c>
      <c r="C39" s="20" t="inlineStr">
        <is>
          <t>Non-Ferrous</t>
        </is>
      </c>
      <c r="D39" s="18" t="n">
        <v>0</v>
      </c>
      <c r="E39" s="21" t="inlineStr">
        <is>
          <t>SS 430F</t>
        </is>
      </c>
      <c r="F39" s="2" t="n"/>
      <c r="G39" s="2" t="n"/>
      <c r="H39" s="2" t="n"/>
      <c r="I39" s="2" t="n"/>
      <c r="J39" s="2" t="n"/>
      <c r="K39" s="2" t="n"/>
      <c r="L39" s="2" t="n"/>
    </row>
    <row r="40">
      <c r="A40" s="14" t="n">
        <v>25</v>
      </c>
      <c r="B40" s="15" t="inlineStr">
        <is>
          <t>SS 431</t>
        </is>
      </c>
      <c r="C40" s="16" t="inlineStr">
        <is>
          <t>Non-Ferrous</t>
        </is>
      </c>
      <c r="D40" s="14" t="n">
        <v>0</v>
      </c>
      <c r="E40" s="17" t="inlineStr">
        <is>
          <t>SS 431</t>
        </is>
      </c>
      <c r="F40" s="2" t="n"/>
      <c r="G40" s="2" t="n"/>
      <c r="H40" s="2" t="n"/>
      <c r="I40" s="2" t="n"/>
      <c r="J40" s="2" t="n"/>
      <c r="K40" s="2" t="n"/>
      <c r="L40" s="2" t="n"/>
    </row>
    <row r="41">
      <c r="A41" s="18" t="n">
        <v>26</v>
      </c>
      <c r="B41" s="19" t="inlineStr">
        <is>
          <t>SS 440C</t>
        </is>
      </c>
      <c r="C41" s="20" t="inlineStr">
        <is>
          <t>Non-Ferrous</t>
        </is>
      </c>
      <c r="D41" s="18" t="n">
        <v>0</v>
      </c>
      <c r="E41" s="21" t="inlineStr">
        <is>
          <t>SS 440C</t>
        </is>
      </c>
      <c r="F41" s="2" t="n"/>
      <c r="G41" s="2" t="n"/>
      <c r="H41" s="2" t="n"/>
      <c r="I41" s="2" t="n"/>
      <c r="J41" s="2" t="n"/>
      <c r="K41" s="2" t="n"/>
      <c r="L41" s="2" t="n"/>
    </row>
    <row r="42">
      <c r="A42" s="14" t="n">
        <v>27</v>
      </c>
      <c r="B42" s="15" t="inlineStr">
        <is>
          <t>SS 17-4-PH</t>
        </is>
      </c>
      <c r="C42" s="16" t="inlineStr">
        <is>
          <t>Non-Ferrous</t>
        </is>
      </c>
      <c r="D42" s="14" t="n">
        <v>0</v>
      </c>
      <c r="E42" s="17" t="inlineStr">
        <is>
          <t>SS 17-4-PH</t>
        </is>
      </c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2" t="inlineStr">
        <is>
          <t>Regenerate this file from the catalog:  python3 scripts/generate_metals_price_workbook.py</t>
        </is>
      </c>
      <c r="B44" s="22" t="n"/>
      <c r="C44" s="22" t="n"/>
      <c r="D44" s="22" t="n"/>
      <c r="E44" s="2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</sheetData>
  <autoFilter ref="A15:E42"/>
  <mergeCells count="16">
    <mergeCell ref="H6:J7"/>
    <mergeCell ref="A12:E12"/>
    <mergeCell ref="A2:E2"/>
    <mergeCell ref="A7:E7"/>
    <mergeCell ref="A10:E10"/>
    <mergeCell ref="H5:J5"/>
    <mergeCell ref="H9:J11"/>
    <mergeCell ref="A11:E11"/>
    <mergeCell ref="A1:E1"/>
    <mergeCell ref="A5:E5"/>
    <mergeCell ref="A13:E13"/>
    <mergeCell ref="A8:E8"/>
    <mergeCell ref="A44:E44"/>
    <mergeCell ref="A6:E6"/>
    <mergeCell ref="A9:E9"/>
    <mergeCell ref="A3:E3"/>
  </mergeCells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0" r:id="rId5"/>
    <hyperlink xmlns:r="http://schemas.openxmlformats.org/officeDocument/2006/relationships" ref="E21" r:id="rId6"/>
    <hyperlink xmlns:r="http://schemas.openxmlformats.org/officeDocument/2006/relationships" ref="E22" r:id="rId7"/>
    <hyperlink xmlns:r="http://schemas.openxmlformats.org/officeDocument/2006/relationships" ref="E23" r:id="rId8"/>
    <hyperlink xmlns:r="http://schemas.openxmlformats.org/officeDocument/2006/relationships" ref="E24" r:id="rId9"/>
    <hyperlink xmlns:r="http://schemas.openxmlformats.org/officeDocument/2006/relationships" ref="E25" r:id="rId10"/>
    <hyperlink xmlns:r="http://schemas.openxmlformats.org/officeDocument/2006/relationships" ref="E26" r:id="rId11"/>
    <hyperlink xmlns:r="http://schemas.openxmlformats.org/officeDocument/2006/relationships" ref="E27" r:id="rId12"/>
    <hyperlink xmlns:r="http://schemas.openxmlformats.org/officeDocument/2006/relationships" ref="E28" r:id="rId13"/>
    <hyperlink xmlns:r="http://schemas.openxmlformats.org/officeDocument/2006/relationships" ref="E29" r:id="rId14"/>
    <hyperlink xmlns:r="http://schemas.openxmlformats.org/officeDocument/2006/relationships" ref="E30" r:id="rId15"/>
    <hyperlink xmlns:r="http://schemas.openxmlformats.org/officeDocument/2006/relationships" ref="E31" r:id="rId16"/>
    <hyperlink xmlns:r="http://schemas.openxmlformats.org/officeDocument/2006/relationships" ref="E32" r:id="rId17"/>
    <hyperlink xmlns:r="http://schemas.openxmlformats.org/officeDocument/2006/relationships" ref="E33" r:id="rId18"/>
    <hyperlink xmlns:r="http://schemas.openxmlformats.org/officeDocument/2006/relationships" ref="E34" r:id="rId19"/>
    <hyperlink xmlns:r="http://schemas.openxmlformats.org/officeDocument/2006/relationships" ref="E35" r:id="rId20"/>
    <hyperlink xmlns:r="http://schemas.openxmlformats.org/officeDocument/2006/relationships" ref="E36" r:id="rId21"/>
    <hyperlink xmlns:r="http://schemas.openxmlformats.org/officeDocument/2006/relationships" ref="E37" r:id="rId22"/>
    <hyperlink xmlns:r="http://schemas.openxmlformats.org/officeDocument/2006/relationships" ref="E38" r:id="rId23"/>
    <hyperlink xmlns:r="http://schemas.openxmlformats.org/officeDocument/2006/relationships" ref="E39" r:id="rId24"/>
    <hyperlink xmlns:r="http://schemas.openxmlformats.org/officeDocument/2006/relationships" ref="E40" r:id="rId25"/>
    <hyperlink xmlns:r="http://schemas.openxmlformats.org/officeDocument/2006/relationships" ref="E41" r:id="rId26"/>
    <hyperlink xmlns:r="http://schemas.openxmlformats.org/officeDocument/2006/relationships" ref="E42" r:id="rId27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8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EN-8D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34" t="inlineStr">
        <is>
          <t>Example: sizes 16 and 18 have sample base prices. Put 1 in I3 — both selling prices rise by 1. Add a size with the green box; it lands in that shape's section on this sheet.</t>
        </is>
      </c>
      <c r="C4" s="34" t="n"/>
      <c r="D4" s="34" t="n"/>
      <c r="E4" s="34" t="n"/>
      <c r="F4" s="34" t="n"/>
      <c r="G4" s="34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Bar",IF(OR(COUNTIF($C$8:$C$60,$P$2)&gt;0,COUNTIF($L$7:$L$26,$P$2)&gt;0),"Already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Rolled</t>
        </is>
      </c>
      <c r="B8" s="42" t="inlineStr">
        <is>
          <t>VSP Make</t>
        </is>
      </c>
      <c r="C8" s="43" t="n">
        <v>16</v>
      </c>
      <c r="D8" s="44" t="n">
        <v>72</v>
      </c>
      <c r="E8" s="44">
        <f>$I$3</f>
        <v/>
      </c>
      <c r="F8" s="45">
        <f>IF(D8="","",D8+$I$3)</f>
        <v/>
      </c>
      <c r="G8" s="46" t="inlineStr">
        <is>
          <t>Example — replace with live rate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Rolled</t>
        </is>
      </c>
      <c r="B9" s="47" t="inlineStr">
        <is>
          <t>VSP Make</t>
        </is>
      </c>
      <c r="C9" s="48" t="n">
        <v>18</v>
      </c>
      <c r="D9" s="49" t="n">
        <v>71.5</v>
      </c>
      <c r="E9" s="49">
        <f>$I$3</f>
        <v/>
      </c>
      <c r="F9" s="50">
        <f>IF(D9="","",D9+$I$3)</f>
        <v/>
      </c>
      <c r="G9" s="51" t="inlineStr">
        <is>
          <t>Example — replace with live rate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Rolled</t>
        </is>
      </c>
      <c r="B10" s="42" t="inlineStr">
        <is>
          <t>VSP Make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Rolled</t>
        </is>
      </c>
      <c r="B11" s="47" t="inlineStr">
        <is>
          <t>VSP Make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Rolled</t>
        </is>
      </c>
      <c r="B12" s="42" t="inlineStr">
        <is>
          <t>VSP Make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Rolled</t>
        </is>
      </c>
      <c r="B13" s="47" t="inlineStr">
        <is>
          <t>VSP Make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Rolled</t>
        </is>
      </c>
      <c r="B14" s="42" t="inlineStr">
        <is>
          <t>VSP Make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Rolled</t>
        </is>
      </c>
      <c r="B15" s="47" t="inlineStr">
        <is>
          <t>VSP Make</t>
        </is>
      </c>
      <c r="C15" s="48" t="n">
        <v>35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Rolled</t>
        </is>
      </c>
      <c r="B16" s="42" t="inlineStr">
        <is>
          <t>VSP Make</t>
        </is>
      </c>
      <c r="C16" s="43" t="n">
        <v>42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Rolled</t>
        </is>
      </c>
      <c r="B17" s="47" t="inlineStr">
        <is>
          <t>VSP Make</t>
        </is>
      </c>
      <c r="C17" s="48" t="n">
        <v>45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Rolled</t>
        </is>
      </c>
      <c r="B18" s="42" t="inlineStr">
        <is>
          <t>VSP Make</t>
        </is>
      </c>
      <c r="C18" s="43" t="n">
        <v>50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Rolled</t>
        </is>
      </c>
      <c r="B19" s="47" t="inlineStr">
        <is>
          <t>VSP Make</t>
        </is>
      </c>
      <c r="C19" s="48" t="n">
        <v>53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Rolled</t>
        </is>
      </c>
      <c r="B20" s="42" t="inlineStr">
        <is>
          <t>VSP Make</t>
        </is>
      </c>
      <c r="C20" s="43" t="n">
        <v>56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Rolled</t>
        </is>
      </c>
      <c r="B21" s="47" t="inlineStr">
        <is>
          <t>VSP Make</t>
        </is>
      </c>
      <c r="C21" s="48" t="n">
        <v>60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Rolled</t>
        </is>
      </c>
      <c r="B22" s="42" t="inlineStr">
        <is>
          <t>VSP Make</t>
        </is>
      </c>
      <c r="C22" s="43" t="n">
        <v>63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Rolled</t>
        </is>
      </c>
      <c r="B23" s="47" t="inlineStr">
        <is>
          <t>VSP Make</t>
        </is>
      </c>
      <c r="C23" s="48" t="n">
        <v>65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Rolled</t>
        </is>
      </c>
      <c r="B24" s="42" t="inlineStr">
        <is>
          <t>VSP Make</t>
        </is>
      </c>
      <c r="C24" s="43" t="n">
        <v>70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Rolled</t>
        </is>
      </c>
      <c r="B25" s="47" t="inlineStr">
        <is>
          <t>VSP Make</t>
        </is>
      </c>
      <c r="C25" s="48" t="n">
        <v>80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Rolled</t>
        </is>
      </c>
      <c r="B26" s="42" t="inlineStr">
        <is>
          <t>VSP Make</t>
        </is>
      </c>
      <c r="C26" s="43" t="n">
        <v>85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Rolled</t>
        </is>
      </c>
      <c r="B27" s="47" t="inlineStr">
        <is>
          <t>VSP Make</t>
        </is>
      </c>
      <c r="C27" s="48" t="n">
        <v>90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</t>
        </is>
      </c>
      <c r="B28" s="42" t="inlineStr">
        <is>
          <t>R.L Steel / LSR Make</t>
        </is>
      </c>
      <c r="C28" s="43" t="n">
        <v>85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</t>
        </is>
      </c>
      <c r="B29" s="47" t="inlineStr">
        <is>
          <t>R.L Steel / LSR Make</t>
        </is>
      </c>
      <c r="C29" s="48" t="n">
        <v>90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</t>
        </is>
      </c>
      <c r="B30" s="42" t="inlineStr">
        <is>
          <t>R.L Steel / LSR Make</t>
        </is>
      </c>
      <c r="C30" s="43" t="n">
        <v>95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</t>
        </is>
      </c>
      <c r="B31" s="47" t="inlineStr">
        <is>
          <t>R.L Steel / LSR Make</t>
        </is>
      </c>
      <c r="C31" s="48" t="n">
        <v>100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</t>
        </is>
      </c>
      <c r="B32" s="42" t="inlineStr">
        <is>
          <t>R.L Steel / LSR Make</t>
        </is>
      </c>
      <c r="C32" s="43" t="n">
        <v>105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</t>
        </is>
      </c>
      <c r="B33" s="47" t="inlineStr">
        <is>
          <t>R.L Steel / LSR Make</t>
        </is>
      </c>
      <c r="C33" s="48" t="n">
        <v>110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</t>
        </is>
      </c>
      <c r="B34" s="42" t="inlineStr">
        <is>
          <t>R.L Steel / LSR Make</t>
        </is>
      </c>
      <c r="C34" s="43" t="n">
        <v>115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</t>
        </is>
      </c>
      <c r="B35" s="47" t="inlineStr">
        <is>
          <t>R.L Steel / LSR Make</t>
        </is>
      </c>
      <c r="C35" s="48" t="n">
        <v>120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</t>
        </is>
      </c>
      <c r="B36" s="42" t="inlineStr">
        <is>
          <t>R.L Steel / LSR Make</t>
        </is>
      </c>
      <c r="C36" s="43" t="n">
        <v>125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</t>
        </is>
      </c>
      <c r="B37" s="47" t="inlineStr">
        <is>
          <t>R.L Steel / LSR Make</t>
        </is>
      </c>
      <c r="C37" s="48" t="n">
        <v>130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</t>
        </is>
      </c>
      <c r="B38" s="42" t="inlineStr">
        <is>
          <t>R.L Steel / LSR Make</t>
        </is>
      </c>
      <c r="C38" s="43" t="n">
        <v>140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</t>
        </is>
      </c>
      <c r="B39" s="47" t="inlineStr">
        <is>
          <t>R.L Steel / LSR Make</t>
        </is>
      </c>
      <c r="C39" s="48" t="n">
        <v>150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</t>
        </is>
      </c>
      <c r="B40" s="42" t="inlineStr">
        <is>
          <t>R.L Steel / LSR Make</t>
        </is>
      </c>
      <c r="C40" s="43" t="n">
        <v>160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</t>
        </is>
      </c>
      <c r="B41" s="47" t="inlineStr">
        <is>
          <t>R.L Steel / LSR Make</t>
        </is>
      </c>
      <c r="C41" s="48" t="n">
        <v>170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</t>
        </is>
      </c>
      <c r="B42" s="42" t="inlineStr">
        <is>
          <t>R.L Steel / LSR Make</t>
        </is>
      </c>
      <c r="C42" s="43" t="n">
        <v>180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</t>
        </is>
      </c>
      <c r="B43" s="47" t="inlineStr">
        <is>
          <t>R.L Steel / LSR Make</t>
        </is>
      </c>
      <c r="C43" s="48" t="n">
        <v>200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Rod</t>
        </is>
      </c>
      <c r="B44" s="42" t="inlineStr">
        <is>
          <t>R.L Steel / LSR Make</t>
        </is>
      </c>
      <c r="C44" s="43" t="n">
        <v>210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Bright Rod</t>
        </is>
      </c>
      <c r="B45" s="47" t="inlineStr"/>
      <c r="C45" s="48" t="n">
        <v>8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Bright Rod</t>
        </is>
      </c>
      <c r="B46" s="42" t="inlineStr"/>
      <c r="C46" s="43" t="n">
        <v>10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Bright Rod</t>
        </is>
      </c>
      <c r="B47" s="47" t="inlineStr"/>
      <c r="C47" s="48" t="n">
        <v>12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Bright Rod</t>
        </is>
      </c>
      <c r="B48" s="42" t="inlineStr"/>
      <c r="C48" s="43" t="n">
        <v>14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Bright Rod</t>
        </is>
      </c>
      <c r="B49" s="47" t="inlineStr"/>
      <c r="C49" s="48" t="n">
        <v>16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Bright Rod</t>
        </is>
      </c>
      <c r="B50" s="42" t="inlineStr"/>
      <c r="C50" s="43" t="n">
        <v>20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Bright Rod</t>
        </is>
      </c>
      <c r="B51" s="47" t="inlineStr"/>
      <c r="C51" s="48" t="n">
        <v>25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Bright Rod</t>
        </is>
      </c>
      <c r="B52" s="42" t="inlineStr"/>
      <c r="C52" s="43" t="n">
        <v>28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Bright Rod</t>
        </is>
      </c>
      <c r="B53" s="47" t="inlineStr"/>
      <c r="C53" s="48" t="n">
        <v>30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Bright Rod</t>
        </is>
      </c>
      <c r="B54" s="42" t="inlineStr"/>
      <c r="C54" s="43" t="n">
        <v>32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Bright Rod</t>
        </is>
      </c>
      <c r="B55" s="47" t="inlineStr"/>
      <c r="C55" s="48" t="n">
        <v>36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Bright Rod</t>
        </is>
      </c>
      <c r="B56" s="42" t="inlineStr"/>
      <c r="C56" s="43" t="n">
        <v>40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Bright Rod</t>
        </is>
      </c>
      <c r="B57" s="47" t="inlineStr"/>
      <c r="C57" s="48" t="n">
        <v>50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Bright Rod</t>
        </is>
      </c>
      <c r="B58" s="42" t="inlineStr"/>
      <c r="C58" s="43" t="n">
        <v>55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Bright Rod</t>
        </is>
      </c>
      <c r="B59" s="47" t="inlineStr"/>
      <c r="C59" s="48" t="n">
        <v>60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Bright Rod</t>
        </is>
      </c>
      <c r="B60" s="42" t="inlineStr"/>
      <c r="C60" s="43" t="n">
        <v>63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/>
      <c r="B61" s="47" t="inlineStr"/>
      <c r="C61" s="48">
        <f>IF($M$2&lt;&gt;"Round Bar","",IFERROR(INDEX(LET(cat,$C$8:$C$60,box,VSTACK($P$2,$L$7:$L$26),live,UNIQUE(FILTER(VSTACK(cat,box),VSTACK(cat,box)&lt;&gt;"")),FILTER(live,COUNTIF(cat,live)=0)),1),""))</f>
        <v/>
      </c>
      <c r="D61" s="49" t="n"/>
      <c r="E61" s="49">
        <f>$I$3</f>
        <v/>
      </c>
      <c r="F61" s="50">
        <f>IF(D61="","",D61+$I$3)</f>
        <v/>
      </c>
      <c r="G61" s="51" t="inlineStr">
        <is>
          <t>New size from Add Size — type a base price; selling uses $I$3</t>
        </is>
      </c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/>
      <c r="B62" s="42" t="inlineStr"/>
      <c r="C62" s="43">
        <f>IF($M$2&lt;&gt;"Round Bar","",IFERROR(INDEX(LET(cat,$C$8:$C$60,box,VSTACK($P$2,$L$7:$L$26),live,UNIQUE(FILTER(VSTACK(cat,box),VSTACK(cat,box)&lt;&gt;"")),FILTER(live,COUNTIF(cat,live)=0)),2),""))</f>
        <v/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/>
      <c r="B63" s="47" t="inlineStr"/>
      <c r="C63" s="48">
        <f>IF($M$2&lt;&gt;"Round Bar","",IFERROR(INDEX(LET(cat,$C$8:$C$60,box,VSTACK($P$2,$L$7:$L$26),live,UNIQUE(FILTER(VSTACK(cat,box),VSTACK(cat,box)&lt;&gt;"")),FILTER(live,COUNTIF(cat,live)=0)),3),""))</f>
        <v/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/>
      <c r="B64" s="42" t="inlineStr"/>
      <c r="C64" s="43">
        <f>IF($M$2&lt;&gt;"Round Bar","",IFERROR(INDEX(LET(cat,$C$8:$C$60,box,VSTACK($P$2,$L$7:$L$26),live,UNIQUE(FILTER(VSTACK(cat,box),VSTACK(cat,box)&lt;&gt;"")),FILTER(live,COUNTIF(cat,live)=0)),4),""))</f>
        <v/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/>
      <c r="B65" s="47" t="inlineStr"/>
      <c r="C65" s="48">
        <f>IF($M$2&lt;&gt;"Round Bar","",IFERROR(INDEX(LET(cat,$C$8:$C$60,box,VSTACK($P$2,$L$7:$L$26),live,UNIQUE(FILTER(VSTACK(cat,box),VSTACK(cat,box)&lt;&gt;"")),FILTER(live,COUNTIF(cat,live)=0)),5),""))</f>
        <v/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/>
      <c r="B66" s="42" t="inlineStr"/>
      <c r="C66" s="43">
        <f>IF($M$2&lt;&gt;"Round Bar","",IFERROR(INDEX(LET(cat,$C$8:$C$60,box,VSTACK($P$2,$L$7:$L$26),live,UNIQUE(FILTER(VSTACK(cat,box),VSTACK(cat,box)&lt;&gt;"")),FILTER(live,COUNTIF(cat,live)=0)),6),""))</f>
        <v/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/>
      <c r="B67" s="47" t="inlineStr"/>
      <c r="C67" s="48">
        <f>IF($M$2&lt;&gt;"Round Bar","",IFERROR(INDEX(LET(cat,$C$8:$C$60,box,VSTACK($P$2,$L$7:$L$26),live,UNIQUE(FILTER(VSTACK(cat,box),VSTACK(cat,box)&lt;&gt;"")),FILTER(live,COUNTIF(cat,live)=0)),7),""))</f>
        <v/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/>
      <c r="B68" s="42" t="inlineStr"/>
      <c r="C68" s="43">
        <f>IF($M$2&lt;&gt;"Round Bar","",IFERROR(INDEX(LET(cat,$C$8:$C$60,box,VSTACK($P$2,$L$7:$L$26),live,UNIQUE(FILTER(VSTACK(cat,box),VSTACK(cat,box)&lt;&gt;"")),FILTER(live,COUNTIF(cat,live)=0)),8),""))</f>
        <v/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Bar","",IFERROR(INDEX(LET(cat,$C$8:$C$60,box,VSTACK($P$2,$L$7:$L$26),live,UNIQUE(FILTER(VSTACK(cat,box),VSTACK(cat,box)&lt;&gt;"")),FILTER(live,COUNTIF(cat,live)=0)),9),""))</f>
        <v/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Bar","",IFERROR(INDEX(LET(cat,$C$8:$C$60,box,VSTACK($P$2,$L$7:$L$26),live,UNIQUE(FILTER(VSTACK(cat,box),VSTACK(cat,box)&lt;&gt;"")),FILTER(live,COUNTIF(cat,live)=0)),10),""))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Bar","",IFERROR(INDEX(LET(cat,$C$8:$C$60,box,VSTACK($P$2,$L$7:$L$26),live,UNIQUE(FILTER(VSTACK(cat,box),VSTACK(cat,box)&lt;&gt;"")),FILTER(live,COUNTIF(cat,live)=0)),11),""))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Bar","",IFERROR(INDEX(LET(cat,$C$8:$C$60,box,VSTACK($P$2,$L$7:$L$26),live,UNIQUE(FILTER(VSTACK(cat,box),VSTACK(cat,box)&lt;&gt;"")),FILTER(live,COUNTIF(cat,live)=0)),12),""))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Bar","",IFERROR(INDEX(LET(cat,$C$8:$C$60,box,VSTACK($P$2,$L$7:$L$26),live,UNIQUE(FILTER(VSTACK(cat,box),VSTACK(cat,box)&lt;&gt;"")),FILTER(live,COUNTIF(cat,live)=0)),13),""))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Bar","",IFERROR(INDEX(LET(cat,$C$8:$C$60,box,VSTACK($P$2,$L$7:$L$26),live,UNIQUE(FILTER(VSTACK(cat,box),VSTACK(cat,box)&lt;&gt;"")),FILTER(live,COUNTIF(cat,live)=0)),14),""))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Bar","",IFERROR(INDEX(LET(cat,$C$8:$C$60,box,VSTACK($P$2,$L$7:$L$26),live,UNIQUE(FILTER(VSTACK(cat,box),VSTACK(cat,box)&lt;&gt;"")),FILTER(live,COUNTIF(cat,live)=0)),15),""))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Bar","",IFERROR(INDEX(LET(cat,$C$8:$C$60,box,VSTACK($P$2,$L$7:$L$26),live,UNIQUE(FILTER(VSTACK(cat,box),VSTACK(cat,box)&lt;&gt;"")),FILTER(live,COUNTIF(cat,live)=0)),16),""))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Bar","",IFERROR(INDEX(LET(cat,$C$8:$C$60,box,VSTACK($P$2,$L$7:$L$26),live,UNIQUE(FILTER(VSTACK(cat,box),VSTACK(cat,box)&lt;&gt;"")),FILTER(live,COUNTIF(cat,live)=0)),17),""))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Bar","",IFERROR(INDEX(LET(cat,$C$8:$C$60,box,VSTACK($P$2,$L$7:$L$26),live,UNIQUE(FILTER(VSTACK(cat,box),VSTACK(cat,box)&lt;&gt;"")),FILTER(live,COUNTIF(cat,live)=0)),18),""))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Bar","",IFERROR(INDEX(LET(cat,$C$8:$C$60,box,VSTACK($P$2,$L$7:$L$26),live,UNIQUE(FILTER(VSTACK(cat,box),VSTACK(cat,box)&lt;&gt;"")),FILTER(live,COUNTIF(cat,live)=0)),19),""))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IF($M$2&lt;&gt;"Round Bar","",IFERROR(INDEX(LET(cat,$C$8:$C$60,box,VSTACK($P$2,$L$7:$L$26),live,UNIQUE(FILTER(VSTACK(cat,box),VSTACK(cat,box)&lt;&gt;"")),FILTER(live,COUNTIF(cat,live)=0)),20),""))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EN-8D / C-45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Bar",IF(OR(COUNTIF($C$8:$C$22,$P$2)&gt;0,COUNTIF($L$7:$L$26,$P$2)&gt;0),"Already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Rolled Imported</t>
        </is>
      </c>
      <c r="B8" s="42" t="inlineStr">
        <is>
          <t>China / Korea</t>
        </is>
      </c>
      <c r="C8" s="43" t="n">
        <v>210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Rolled Imported</t>
        </is>
      </c>
      <c r="B9" s="47" t="inlineStr">
        <is>
          <t>China / Korea</t>
        </is>
      </c>
      <c r="C9" s="48" t="n">
        <v>220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Rolled Imported</t>
        </is>
      </c>
      <c r="B10" s="42" t="inlineStr">
        <is>
          <t>China / Korea</t>
        </is>
      </c>
      <c r="C10" s="43" t="n">
        <v>230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Rolled Imported</t>
        </is>
      </c>
      <c r="B11" s="47" t="inlineStr">
        <is>
          <t>China / Korea</t>
        </is>
      </c>
      <c r="C11" s="48" t="n">
        <v>240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Rolled Imported</t>
        </is>
      </c>
      <c r="B12" s="42" t="inlineStr">
        <is>
          <t>China / Korea</t>
        </is>
      </c>
      <c r="C12" s="43" t="n">
        <v>250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Rolled Imported</t>
        </is>
      </c>
      <c r="B13" s="47" t="inlineStr">
        <is>
          <t>China / Korea</t>
        </is>
      </c>
      <c r="C13" s="48" t="n">
        <v>260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Rolled Imported</t>
        </is>
      </c>
      <c r="B14" s="42" t="inlineStr">
        <is>
          <t>China / Korea</t>
        </is>
      </c>
      <c r="C14" s="43" t="n">
        <v>270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Rolled Imported</t>
        </is>
      </c>
      <c r="B15" s="47" t="inlineStr">
        <is>
          <t>China / Korea</t>
        </is>
      </c>
      <c r="C15" s="48" t="n">
        <v>280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Rolled Imported</t>
        </is>
      </c>
      <c r="B16" s="42" t="inlineStr">
        <is>
          <t>China / Korea</t>
        </is>
      </c>
      <c r="C16" s="43" t="n">
        <v>290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Rolled Imported</t>
        </is>
      </c>
      <c r="B17" s="47" t="inlineStr">
        <is>
          <t>China / Korea</t>
        </is>
      </c>
      <c r="C17" s="48" t="n">
        <v>300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Rolled Imported</t>
        </is>
      </c>
      <c r="B18" s="42" t="inlineStr">
        <is>
          <t>China / Korea</t>
        </is>
      </c>
      <c r="C18" s="43" t="n">
        <v>310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Rolled Imported</t>
        </is>
      </c>
      <c r="B19" s="47" t="inlineStr">
        <is>
          <t>China / Korea</t>
        </is>
      </c>
      <c r="C19" s="48" t="n">
        <v>320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Rolled Imported</t>
        </is>
      </c>
      <c r="B20" s="42" t="inlineStr">
        <is>
          <t>China / Korea</t>
        </is>
      </c>
      <c r="C20" s="43" t="n">
        <v>330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Rolled Imported</t>
        </is>
      </c>
      <c r="B21" s="47" t="inlineStr">
        <is>
          <t>China / Korea</t>
        </is>
      </c>
      <c r="C21" s="48" t="n">
        <v>340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Rolled Imported</t>
        </is>
      </c>
      <c r="B22" s="42" t="inlineStr">
        <is>
          <t>China / Korea</t>
        </is>
      </c>
      <c r="C22" s="43" t="n">
        <v>350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IF($M$2&lt;&gt;"Round Bar","",IFERROR(INDEX(LET(cat,$C$8:$C$22,box,VSTACK($P$2,$L$7:$L$26),live,UNIQUE(FILTER(VSTACK(cat,box),VSTACK(cat,box)&lt;&gt;"")),FILTER(live,COUNTIF(cat,live)=0)),1),""))</f>
        <v/>
      </c>
      <c r="D23" s="49" t="n"/>
      <c r="E23" s="49">
        <f>$I$3</f>
        <v/>
      </c>
      <c r="F23" s="50">
        <f>IF(D23="","",D23+$I$3)</f>
        <v/>
      </c>
      <c r="G23" s="51" t="inlineStr">
        <is>
          <t>New size from Add Size — type a base price; selling uses $I$3</t>
        </is>
      </c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IF($M$2&lt;&gt;"Round Bar","",IFERROR(INDEX(LET(cat,$C$8:$C$22,box,VSTACK($P$2,$L$7:$L$26),live,UNIQUE(FILTER(VSTACK(cat,box),VSTACK(cat,box)&lt;&gt;"")),FILTER(live,COUNTIF(cat,live)=0)),2),""))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IF($M$2&lt;&gt;"Round Bar","",IFERROR(INDEX(LET(cat,$C$8:$C$22,box,VSTACK($P$2,$L$7:$L$26),live,UNIQUE(FILTER(VSTACK(cat,box),VSTACK(cat,box)&lt;&gt;"")),FILTER(live,COUNTIF(cat,live)=0)),3),""))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IF($M$2&lt;&gt;"Round Bar","",IFERROR(INDEX(LET(cat,$C$8:$C$22,box,VSTACK($P$2,$L$7:$L$26),live,UNIQUE(FILTER(VSTACK(cat,box),VSTACK(cat,box)&lt;&gt;"")),FILTER(live,COUNTIF(cat,live)=0)),4),""))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IF($M$2&lt;&gt;"Round Bar","",IFERROR(INDEX(LET(cat,$C$8:$C$22,box,VSTACK($P$2,$L$7:$L$26),live,UNIQUE(FILTER(VSTACK(cat,box),VSTACK(cat,box)&lt;&gt;"")),FILTER(live,COUNTIF(cat,live)=0)),5),""))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IF($M$2&lt;&gt;"Round Bar","",IFERROR(INDEX(LET(cat,$C$8:$C$22,box,VSTACK($P$2,$L$7:$L$26),live,UNIQUE(FILTER(VSTACK(cat,box),VSTACK(cat,box)&lt;&gt;"")),FILTER(live,COUNTIF(cat,live)=0)),6),""))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/>
      <c r="B29" s="47" t="inlineStr"/>
      <c r="C29" s="48">
        <f>IF($M$2&lt;&gt;"Round Bar","",IFERROR(INDEX(LET(cat,$C$8:$C$22,box,VSTACK($P$2,$L$7:$L$26),live,UNIQUE(FILTER(VSTACK(cat,box),VSTACK(cat,box)&lt;&gt;"")),FILTER(live,COUNTIF(cat,live)=0)),7),""))</f>
        <v/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/>
      <c r="B30" s="42" t="inlineStr"/>
      <c r="C30" s="43">
        <f>IF($M$2&lt;&gt;"Round Bar","",IFERROR(INDEX(LET(cat,$C$8:$C$22,box,VSTACK($P$2,$L$7:$L$26),live,UNIQUE(FILTER(VSTACK(cat,box),VSTACK(cat,box)&lt;&gt;"")),FILTER(live,COUNTIF(cat,live)=0)),8),""))</f>
        <v/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/>
      <c r="B31" s="47" t="inlineStr"/>
      <c r="C31" s="48">
        <f>IF($M$2&lt;&gt;"Round Bar","",IFERROR(INDEX(LET(cat,$C$8:$C$22,box,VSTACK($P$2,$L$7:$L$26),live,UNIQUE(FILTER(VSTACK(cat,box),VSTACK(cat,box)&lt;&gt;"")),FILTER(live,COUNTIF(cat,live)=0)),9),""))</f>
        <v/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/>
      <c r="B32" s="42" t="inlineStr"/>
      <c r="C32" s="43">
        <f>IF($M$2&lt;&gt;"Round Bar","",IFERROR(INDEX(LET(cat,$C$8:$C$22,box,VSTACK($P$2,$L$7:$L$26),live,UNIQUE(FILTER(VSTACK(cat,box),VSTACK(cat,box)&lt;&gt;"")),FILTER(live,COUNTIF(cat,live)=0)),10),""))</f>
        <v/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/>
      <c r="B33" s="47" t="inlineStr"/>
      <c r="C33" s="48">
        <f>IF($M$2&lt;&gt;"Round Bar","",IFERROR(INDEX(LET(cat,$C$8:$C$22,box,VSTACK($P$2,$L$7:$L$26),live,UNIQUE(FILTER(VSTACK(cat,box),VSTACK(cat,box)&lt;&gt;"")),FILTER(live,COUNTIF(cat,live)=0)),11),""))</f>
        <v/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/>
      <c r="B34" s="42" t="inlineStr"/>
      <c r="C34" s="43">
        <f>IF($M$2&lt;&gt;"Round Bar","",IFERROR(INDEX(LET(cat,$C$8:$C$22,box,VSTACK($P$2,$L$7:$L$26),live,UNIQUE(FILTER(VSTACK(cat,box),VSTACK(cat,box)&lt;&gt;"")),FILTER(live,COUNTIF(cat,live)=0)),12),""))</f>
        <v/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/>
      <c r="B35" s="47" t="inlineStr"/>
      <c r="C35" s="48">
        <f>IF($M$2&lt;&gt;"Round Bar","",IFERROR(INDEX(LET(cat,$C$8:$C$22,box,VSTACK($P$2,$L$7:$L$26),live,UNIQUE(FILTER(VSTACK(cat,box),VSTACK(cat,box)&lt;&gt;"")),FILTER(live,COUNTIF(cat,live)=0)),13),""))</f>
        <v/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/>
      <c r="B36" s="42" t="inlineStr"/>
      <c r="C36" s="43">
        <f>IF($M$2&lt;&gt;"Round Bar","",IFERROR(INDEX(LET(cat,$C$8:$C$22,box,VSTACK($P$2,$L$7:$L$26),live,UNIQUE(FILTER(VSTACK(cat,box),VSTACK(cat,box)&lt;&gt;"")),FILTER(live,COUNTIF(cat,live)=0)),14),""))</f>
        <v/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/>
      <c r="B37" s="47" t="inlineStr"/>
      <c r="C37" s="48">
        <f>IF($M$2&lt;&gt;"Round Bar","",IFERROR(INDEX(LET(cat,$C$8:$C$22,box,VSTACK($P$2,$L$7:$L$26),live,UNIQUE(FILTER(VSTACK(cat,box),VSTACK(cat,box)&lt;&gt;"")),FILTER(live,COUNTIF(cat,live)=0)),15),""))</f>
        <v/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/>
      <c r="B38" s="42" t="inlineStr"/>
      <c r="C38" s="43">
        <f>IF($M$2&lt;&gt;"Round Bar","",IFERROR(INDEX(LET(cat,$C$8:$C$22,box,VSTACK($P$2,$L$7:$L$26),live,UNIQUE(FILTER(VSTACK(cat,box),VSTACK(cat,box)&lt;&gt;"")),FILTER(live,COUNTIF(cat,live)=0)),16),""))</f>
        <v/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/>
      <c r="B39" s="47" t="inlineStr"/>
      <c r="C39" s="48">
        <f>IF($M$2&lt;&gt;"Round Bar","",IFERROR(INDEX(LET(cat,$C$8:$C$22,box,VSTACK($P$2,$L$7:$L$26),live,UNIQUE(FILTER(VSTACK(cat,box),VSTACK(cat,box)&lt;&gt;"")),FILTER(live,COUNTIF(cat,live)=0)),17),""))</f>
        <v/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/>
      <c r="B40" s="42" t="inlineStr"/>
      <c r="C40" s="43">
        <f>IF($M$2&lt;&gt;"Round Bar","",IFERROR(INDEX(LET(cat,$C$8:$C$22,box,VSTACK($P$2,$L$7:$L$26),live,UNIQUE(FILTER(VSTACK(cat,box),VSTACK(cat,box)&lt;&gt;"")),FILTER(live,COUNTIF(cat,live)=0)),18),""))</f>
        <v/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/>
      <c r="B41" s="47" t="inlineStr"/>
      <c r="C41" s="48">
        <f>IF($M$2&lt;&gt;"Round Bar","",IFERROR(INDEX(LET(cat,$C$8:$C$22,box,VSTACK($P$2,$L$7:$L$26),live,UNIQUE(FILTER(VSTACK(cat,box),VSTACK(cat,box)&lt;&gt;"")),FILTER(live,COUNTIF(cat,live)=0)),19),""))</f>
        <v/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/>
      <c r="B42" s="42" t="inlineStr"/>
      <c r="C42" s="43">
        <f>IF($M$2&lt;&gt;"Round Bar","",IFERROR(INDEX(LET(cat,$C$8:$C$22,box,VSTACK($P$2,$L$7:$L$26),live,UNIQUE(FILTER(VSTACK(cat,box),VSTACK(cat,box)&lt;&gt;"")),FILTER(live,COUNTIF(cat,live)=0)),20),""))</f>
        <v/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P18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EN-8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 · Square Bar · Flat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Bar",IF(OR(COUNTIF($C$8:$C$31,$P$2)&gt;0,COUNTIF($L$7:$L$26,$P$2)&gt;0),"Already added — skipped","Added"),IF($M$2="Square Bar",IF(OR(COUNTIF($C$55:$C$70,$P$2)&gt;0,COUNTIF($L$7:$L$26,$P$2)&gt;0),"Already added — skipped","Added"),IF($M$2="Flat Bar",IF(OR(COUNTIF($E$94:$E$167,$P$2)&gt;0,COUNTIF($L$7:$L$26,$P$2)&gt;0),"Already added — skipped","Added"),"Pick a shape that exists on this sheet"))))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Forging Rod</t>
        </is>
      </c>
      <c r="B8" s="42" t="inlineStr"/>
      <c r="C8" s="43" t="n">
        <v>310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Forging Rod</t>
        </is>
      </c>
      <c r="B9" s="47" t="inlineStr"/>
      <c r="C9" s="48" t="n">
        <v>320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Forging Rod</t>
        </is>
      </c>
      <c r="B10" s="42" t="inlineStr"/>
      <c r="C10" s="43" t="n">
        <v>330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Forging Rod</t>
        </is>
      </c>
      <c r="B11" s="47" t="inlineStr"/>
      <c r="C11" s="48" t="n">
        <v>340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Forging Rod</t>
        </is>
      </c>
      <c r="B12" s="42" t="inlineStr"/>
      <c r="C12" s="43" t="n">
        <v>350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Forging Rod</t>
        </is>
      </c>
      <c r="B13" s="47" t="inlineStr"/>
      <c r="C13" s="48" t="n">
        <v>360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Forging Rod</t>
        </is>
      </c>
      <c r="B14" s="42" t="inlineStr"/>
      <c r="C14" s="43" t="n">
        <v>370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Forging Rod</t>
        </is>
      </c>
      <c r="B15" s="47" t="inlineStr"/>
      <c r="C15" s="48" t="n">
        <v>380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Forging Rod</t>
        </is>
      </c>
      <c r="B16" s="42" t="inlineStr"/>
      <c r="C16" s="43" t="n">
        <v>390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Forging Rod</t>
        </is>
      </c>
      <c r="B17" s="47" t="inlineStr"/>
      <c r="C17" s="48" t="n">
        <v>400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Forging Rod</t>
        </is>
      </c>
      <c r="B18" s="42" t="inlineStr"/>
      <c r="C18" s="43" t="n">
        <v>410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Forging Rod</t>
        </is>
      </c>
      <c r="B19" s="47" t="inlineStr"/>
      <c r="C19" s="48" t="n">
        <v>420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Forging Rod</t>
        </is>
      </c>
      <c r="B20" s="42" t="inlineStr"/>
      <c r="C20" s="43" t="n">
        <v>430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Forging Rod</t>
        </is>
      </c>
      <c r="B21" s="47" t="inlineStr"/>
      <c r="C21" s="48" t="n">
        <v>440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Forging Rod</t>
        </is>
      </c>
      <c r="B22" s="42" t="inlineStr"/>
      <c r="C22" s="43" t="n">
        <v>450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Centerless Grinding</t>
        </is>
      </c>
      <c r="B23" s="47" t="inlineStr"/>
      <c r="C23" s="48" t="n">
        <v>12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Centerless Grinding</t>
        </is>
      </c>
      <c r="B24" s="42" t="inlineStr"/>
      <c r="C24" s="43" t="n">
        <v>15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Centerless Grinding</t>
        </is>
      </c>
      <c r="B25" s="47" t="inlineStr"/>
      <c r="C25" s="48" t="n">
        <v>16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Centerless Grinding</t>
        </is>
      </c>
      <c r="B26" s="42" t="inlineStr"/>
      <c r="C26" s="43" t="n">
        <v>20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Centerless Grinding</t>
        </is>
      </c>
      <c r="B27" s="47" t="inlineStr"/>
      <c r="C27" s="48" t="n">
        <v>25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Centerless Grinding</t>
        </is>
      </c>
      <c r="B28" s="42" t="inlineStr"/>
      <c r="C28" s="43" t="n">
        <v>30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Centerless Grinding</t>
        </is>
      </c>
      <c r="B29" s="47" t="inlineStr"/>
      <c r="C29" s="48" t="n">
        <v>35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Centerless Grinding</t>
        </is>
      </c>
      <c r="B30" s="42" t="inlineStr"/>
      <c r="C30" s="43" t="n">
        <v>38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Centerless Grinding</t>
        </is>
      </c>
      <c r="B31" s="47" t="inlineStr"/>
      <c r="C31" s="48" t="n">
        <v>40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/>
      <c r="B32" s="42" t="inlineStr"/>
      <c r="C32" s="43">
        <f>IF($M$2&lt;&gt;"Round Bar","",IFERROR(INDEX(LET(cat,$C$8:$C$31,box,VSTACK($P$2,$L$7:$L$26),live,UNIQUE(FILTER(VSTACK(cat,box),VSTACK(cat,box)&lt;&gt;"")),FILTER(live,COUNTIF(cat,live)=0)),1),""))</f>
        <v/>
      </c>
      <c r="D32" s="44" t="n"/>
      <c r="E32" s="44">
        <f>$I$3</f>
        <v/>
      </c>
      <c r="F32" s="45">
        <f>IF(D32="","",D32+$I$3)</f>
        <v/>
      </c>
      <c r="G32" s="46" t="inlineStr">
        <is>
          <t>New size from Add Size — type a base price; selling uses $I$3</t>
        </is>
      </c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/>
      <c r="B33" s="47" t="inlineStr"/>
      <c r="C33" s="48">
        <f>IF($M$2&lt;&gt;"Round Bar","",IFERROR(INDEX(LET(cat,$C$8:$C$31,box,VSTACK($P$2,$L$7:$L$26),live,UNIQUE(FILTER(VSTACK(cat,box),VSTACK(cat,box)&lt;&gt;"")),FILTER(live,COUNTIF(cat,live)=0)),2),""))</f>
        <v/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/>
      <c r="B34" s="42" t="inlineStr"/>
      <c r="C34" s="43">
        <f>IF($M$2&lt;&gt;"Round Bar","",IFERROR(INDEX(LET(cat,$C$8:$C$31,box,VSTACK($P$2,$L$7:$L$26),live,UNIQUE(FILTER(VSTACK(cat,box),VSTACK(cat,box)&lt;&gt;"")),FILTER(live,COUNTIF(cat,live)=0)),3),""))</f>
        <v/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/>
      <c r="B35" s="47" t="inlineStr"/>
      <c r="C35" s="48">
        <f>IF($M$2&lt;&gt;"Round Bar","",IFERROR(INDEX(LET(cat,$C$8:$C$31,box,VSTACK($P$2,$L$7:$L$26),live,UNIQUE(FILTER(VSTACK(cat,box),VSTACK(cat,box)&lt;&gt;"")),FILTER(live,COUNTIF(cat,live)=0)),4),""))</f>
        <v/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/>
      <c r="B36" s="42" t="inlineStr"/>
      <c r="C36" s="43">
        <f>IF($M$2&lt;&gt;"Round Bar","",IFERROR(INDEX(LET(cat,$C$8:$C$31,box,VSTACK($P$2,$L$7:$L$26),live,UNIQUE(FILTER(VSTACK(cat,box),VSTACK(cat,box)&lt;&gt;"")),FILTER(live,COUNTIF(cat,live)=0)),5),""))</f>
        <v/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/>
      <c r="B37" s="47" t="inlineStr"/>
      <c r="C37" s="48">
        <f>IF($M$2&lt;&gt;"Round Bar","",IFERROR(INDEX(LET(cat,$C$8:$C$31,box,VSTACK($P$2,$L$7:$L$26),live,UNIQUE(FILTER(VSTACK(cat,box),VSTACK(cat,box)&lt;&gt;"")),FILTER(live,COUNTIF(cat,live)=0)),6),""))</f>
        <v/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/>
      <c r="B38" s="42" t="inlineStr"/>
      <c r="C38" s="43">
        <f>IF($M$2&lt;&gt;"Round Bar","",IFERROR(INDEX(LET(cat,$C$8:$C$31,box,VSTACK($P$2,$L$7:$L$26),live,UNIQUE(FILTER(VSTACK(cat,box),VSTACK(cat,box)&lt;&gt;"")),FILTER(live,COUNTIF(cat,live)=0)),7),""))</f>
        <v/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/>
      <c r="B39" s="47" t="inlineStr"/>
      <c r="C39" s="48">
        <f>IF($M$2&lt;&gt;"Round Bar","",IFERROR(INDEX(LET(cat,$C$8:$C$31,box,VSTACK($P$2,$L$7:$L$26),live,UNIQUE(FILTER(VSTACK(cat,box),VSTACK(cat,box)&lt;&gt;"")),FILTER(live,COUNTIF(cat,live)=0)),8),""))</f>
        <v/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/>
      <c r="B40" s="42" t="inlineStr"/>
      <c r="C40" s="43">
        <f>IF($M$2&lt;&gt;"Round Bar","",IFERROR(INDEX(LET(cat,$C$8:$C$31,box,VSTACK($P$2,$L$7:$L$26),live,UNIQUE(FILTER(VSTACK(cat,box),VSTACK(cat,box)&lt;&gt;"")),FILTER(live,COUNTIF(cat,live)=0)),9),""))</f>
        <v/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/>
      <c r="B41" s="47" t="inlineStr"/>
      <c r="C41" s="48">
        <f>IF($M$2&lt;&gt;"Round Bar","",IFERROR(INDEX(LET(cat,$C$8:$C$31,box,VSTACK($P$2,$L$7:$L$26),live,UNIQUE(FILTER(VSTACK(cat,box),VSTACK(cat,box)&lt;&gt;"")),FILTER(live,COUNTIF(cat,live)=0)),10),""))</f>
        <v/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/>
      <c r="B42" s="42" t="inlineStr"/>
      <c r="C42" s="43">
        <f>IF($M$2&lt;&gt;"Round Bar","",IFERROR(INDEX(LET(cat,$C$8:$C$31,box,VSTACK($P$2,$L$7:$L$26),live,UNIQUE(FILTER(VSTACK(cat,box),VSTACK(cat,box)&lt;&gt;"")),FILTER(live,COUNTIF(cat,live)=0)),11),""))</f>
        <v/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/>
      <c r="B43" s="47" t="inlineStr"/>
      <c r="C43" s="48">
        <f>IF($M$2&lt;&gt;"Round Bar","",IFERROR(INDEX(LET(cat,$C$8:$C$31,box,VSTACK($P$2,$L$7:$L$26),live,UNIQUE(FILTER(VSTACK(cat,box),VSTACK(cat,box)&lt;&gt;"")),FILTER(live,COUNTIF(cat,live)=0)),12),""))</f>
        <v/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/>
      <c r="B44" s="42" t="inlineStr"/>
      <c r="C44" s="43">
        <f>IF($M$2&lt;&gt;"Round Bar","",IFERROR(INDEX(LET(cat,$C$8:$C$31,box,VSTACK($P$2,$L$7:$L$26),live,UNIQUE(FILTER(VSTACK(cat,box),VSTACK(cat,box)&lt;&gt;"")),FILTER(live,COUNTIF(cat,live)=0)),13),""))</f>
        <v/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/>
      <c r="B45" s="47" t="inlineStr"/>
      <c r="C45" s="48">
        <f>IF($M$2&lt;&gt;"Round Bar","",IFERROR(INDEX(LET(cat,$C$8:$C$31,box,VSTACK($P$2,$L$7:$L$26),live,UNIQUE(FILTER(VSTACK(cat,box),VSTACK(cat,box)&lt;&gt;"")),FILTER(live,COUNTIF(cat,live)=0)),14),""))</f>
        <v/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/>
      <c r="B46" s="42" t="inlineStr"/>
      <c r="C46" s="43">
        <f>IF($M$2&lt;&gt;"Round Bar","",IFERROR(INDEX(LET(cat,$C$8:$C$31,box,VSTACK($P$2,$L$7:$L$26),live,UNIQUE(FILTER(VSTACK(cat,box),VSTACK(cat,box)&lt;&gt;"")),FILTER(live,COUNTIF(cat,live)=0)),15),""))</f>
        <v/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/>
      <c r="B47" s="47" t="inlineStr"/>
      <c r="C47" s="48">
        <f>IF($M$2&lt;&gt;"Round Bar","",IFERROR(INDEX(LET(cat,$C$8:$C$31,box,VSTACK($P$2,$L$7:$L$26),live,UNIQUE(FILTER(VSTACK(cat,box),VSTACK(cat,box)&lt;&gt;"")),FILTER(live,COUNTIF(cat,live)=0)),16),""))</f>
        <v/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/>
      <c r="B48" s="42" t="inlineStr"/>
      <c r="C48" s="43">
        <f>IF($M$2&lt;&gt;"Round Bar","",IFERROR(INDEX(LET(cat,$C$8:$C$31,box,VSTACK($P$2,$L$7:$L$26),live,UNIQUE(FILTER(VSTACK(cat,box),VSTACK(cat,box)&lt;&gt;"")),FILTER(live,COUNTIF(cat,live)=0)),17),""))</f>
        <v/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/>
      <c r="B49" s="47" t="inlineStr"/>
      <c r="C49" s="48">
        <f>IF($M$2&lt;&gt;"Round Bar","",IFERROR(INDEX(LET(cat,$C$8:$C$31,box,VSTACK($P$2,$L$7:$L$26),live,UNIQUE(FILTER(VSTACK(cat,box),VSTACK(cat,box)&lt;&gt;"")),FILTER(live,COUNTIF(cat,live)=0)),18),""))</f>
        <v/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/>
      <c r="B50" s="42" t="inlineStr"/>
      <c r="C50" s="43">
        <f>IF($M$2&lt;&gt;"Round Bar","",IFERROR(INDEX(LET(cat,$C$8:$C$31,box,VSTACK($P$2,$L$7:$L$26),live,UNIQUE(FILTER(VSTACK(cat,box),VSTACK(cat,box)&lt;&gt;"")),FILTER(live,COUNTIF(cat,live)=0)),19),""))</f>
        <v/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/>
      <c r="B51" s="47" t="inlineStr"/>
      <c r="C51" s="48">
        <f>IF($M$2&lt;&gt;"Round Bar","",IFERROR(INDEX(LET(cat,$C$8:$C$31,box,VSTACK($P$2,$L$7:$L$26),live,UNIQUE(FILTER(VSTACK(cat,box),VSTACK(cat,box)&lt;&gt;"")),FILTER(live,COUNTIF(cat,live)=0)),20),""))</f>
        <v/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 ht="22" customHeight="1">
      <c r="A53" s="38" t="inlineStr">
        <is>
          <t>SQUARE BAR</t>
        </is>
      </c>
      <c r="B53" s="38" t="n"/>
      <c r="C53" s="38" t="n"/>
      <c r="D53" s="38" t="n"/>
      <c r="E53" s="38" t="n"/>
      <c r="F53" s="38" t="n"/>
      <c r="G53" s="38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 ht="22" customHeight="1">
      <c r="A54" s="13" t="inlineStr">
        <is>
          <t>Sub-type</t>
        </is>
      </c>
      <c r="B54" s="13" t="inlineStr">
        <is>
          <t>Make / notes</t>
        </is>
      </c>
      <c r="C54" s="13" t="inlineStr">
        <is>
          <t>Size (mm)</t>
        </is>
      </c>
      <c r="D54" s="13" t="inlineStr">
        <is>
          <t>Base Price (Rs/kg)</t>
        </is>
      </c>
      <c r="E54" s="13" t="inlineStr">
        <is>
          <t>Daily Adj</t>
        </is>
      </c>
      <c r="F54" s="13" t="inlineStr">
        <is>
          <t>Selling Price (Rs/kg)</t>
        </is>
      </c>
      <c r="G54" s="13" t="inlineStr">
        <is>
          <t>Notes</t>
        </is>
      </c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Square Bar</t>
        </is>
      </c>
      <c r="B55" s="47" t="inlineStr"/>
      <c r="C55" s="48" t="n">
        <v>16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Square Bar</t>
        </is>
      </c>
      <c r="B56" s="42" t="inlineStr"/>
      <c r="C56" s="43" t="n">
        <v>20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Square Bar</t>
        </is>
      </c>
      <c r="B57" s="47" t="inlineStr"/>
      <c r="C57" s="48" t="n">
        <v>25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Square Bar</t>
        </is>
      </c>
      <c r="B58" s="42" t="inlineStr"/>
      <c r="C58" s="43" t="n">
        <v>28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Square Bar</t>
        </is>
      </c>
      <c r="B59" s="47" t="inlineStr"/>
      <c r="C59" s="48" t="n">
        <v>32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Square Bar</t>
        </is>
      </c>
      <c r="B60" s="42" t="inlineStr"/>
      <c r="C60" s="43" t="n">
        <v>40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Square Bar</t>
        </is>
      </c>
      <c r="B61" s="47" t="inlineStr"/>
      <c r="C61" s="48" t="n">
        <v>45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Square Bar</t>
        </is>
      </c>
      <c r="B62" s="42" t="inlineStr"/>
      <c r="C62" s="43" t="n">
        <v>50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Square Bar</t>
        </is>
      </c>
      <c r="B63" s="47" t="inlineStr"/>
      <c r="C63" s="48" t="n">
        <v>55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Square Bar</t>
        </is>
      </c>
      <c r="B64" s="42" t="inlineStr"/>
      <c r="C64" s="43" t="n">
        <v>65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Square Bar</t>
        </is>
      </c>
      <c r="B65" s="47" t="inlineStr"/>
      <c r="C65" s="48" t="n">
        <v>75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Square Bar</t>
        </is>
      </c>
      <c r="B66" s="42" t="inlineStr"/>
      <c r="C66" s="43" t="n">
        <v>90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Square Bar</t>
        </is>
      </c>
      <c r="B67" s="47" t="inlineStr"/>
      <c r="C67" s="48" t="n">
        <v>100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Square Bar</t>
        </is>
      </c>
      <c r="B68" s="42" t="inlineStr"/>
      <c r="C68" s="43" t="n">
        <v>125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>
        <is>
          <t>Square Bar</t>
        </is>
      </c>
      <c r="B69" s="47" t="inlineStr"/>
      <c r="C69" s="48" t="n">
        <v>130</v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>
        <is>
          <t>Square Bar</t>
        </is>
      </c>
      <c r="B70" s="42" t="inlineStr"/>
      <c r="C70" s="43" t="n">
        <v>155</v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IF($M$2&lt;&gt;"Square Bar","",IFERROR(INDEX(LET(cat,$C$55:$C$70,box,VSTACK($P$2,$L$7:$L$26),live,UNIQUE(FILTER(VSTACK(cat,box),VSTACK(cat,box)&lt;&gt;"")),FILTER(live,COUNTIF(cat,live)=0)),1),""))</f>
        <v/>
      </c>
      <c r="D71" s="49" t="n"/>
      <c r="E71" s="49">
        <f>$I$3</f>
        <v/>
      </c>
      <c r="F71" s="50">
        <f>IF(D71="","",D71+$I$3)</f>
        <v/>
      </c>
      <c r="G71" s="51" t="inlineStr">
        <is>
          <t>New size from Add Size — type a base price; selling uses $I$3</t>
        </is>
      </c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IF($M$2&lt;&gt;"Square Bar","",IFERROR(INDEX(LET(cat,$C$55:$C$70,box,VSTACK($P$2,$L$7:$L$26),live,UNIQUE(FILTER(VSTACK(cat,box),VSTACK(cat,box)&lt;&gt;"")),FILTER(live,COUNTIF(cat,live)=0)),2),""))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IF($M$2&lt;&gt;"Square Bar","",IFERROR(INDEX(LET(cat,$C$55:$C$70,box,VSTACK($P$2,$L$7:$L$26),live,UNIQUE(FILTER(VSTACK(cat,box),VSTACK(cat,box)&lt;&gt;"")),FILTER(live,COUNTIF(cat,live)=0)),3),""))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IF($M$2&lt;&gt;"Square Bar","",IFERROR(INDEX(LET(cat,$C$55:$C$70,box,VSTACK($P$2,$L$7:$L$26),live,UNIQUE(FILTER(VSTACK(cat,box),VSTACK(cat,box)&lt;&gt;"")),FILTER(live,COUNTIF(cat,live)=0)),4),""))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IF($M$2&lt;&gt;"Square Bar","",IFERROR(INDEX(LET(cat,$C$55:$C$70,box,VSTACK($P$2,$L$7:$L$26),live,UNIQUE(FILTER(VSTACK(cat,box),VSTACK(cat,box)&lt;&gt;"")),FILTER(live,COUNTIF(cat,live)=0)),5),""))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IF($M$2&lt;&gt;"Square Bar","",IFERROR(INDEX(LET(cat,$C$55:$C$70,box,VSTACK($P$2,$L$7:$L$26),live,UNIQUE(FILTER(VSTACK(cat,box),VSTACK(cat,box)&lt;&gt;"")),FILTER(live,COUNTIF(cat,live)=0)),6),""))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IF($M$2&lt;&gt;"Square Bar","",IFERROR(INDEX(LET(cat,$C$55:$C$70,box,VSTACK($P$2,$L$7:$L$26),live,UNIQUE(FILTER(VSTACK(cat,box),VSTACK(cat,box)&lt;&gt;"")),FILTER(live,COUNTIF(cat,live)=0)),7),""))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IF($M$2&lt;&gt;"Square Bar","",IFERROR(INDEX(LET(cat,$C$55:$C$70,box,VSTACK($P$2,$L$7:$L$26),live,UNIQUE(FILTER(VSTACK(cat,box),VSTACK(cat,box)&lt;&gt;"")),FILTER(live,COUNTIF(cat,live)=0)),8),""))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IF($M$2&lt;&gt;"Square Bar","",IFERROR(INDEX(LET(cat,$C$55:$C$70,box,VSTACK($P$2,$L$7:$L$26),live,UNIQUE(FILTER(VSTACK(cat,box),VSTACK(cat,box)&lt;&gt;"")),FILTER(live,COUNTIF(cat,live)=0)),9),""))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IF($M$2&lt;&gt;"Square Bar","",IFERROR(INDEX(LET(cat,$C$55:$C$70,box,VSTACK($P$2,$L$7:$L$26),live,UNIQUE(FILTER(VSTACK(cat,box),VSTACK(cat,box)&lt;&gt;"")),FILTER(live,COUNTIF(cat,live)=0)),10),""))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IF($M$2&lt;&gt;"Square Bar","",IFERROR(INDEX(LET(cat,$C$55:$C$70,box,VSTACK($P$2,$L$7:$L$26),live,UNIQUE(FILTER(VSTACK(cat,box),VSTACK(cat,box)&lt;&gt;"")),FILTER(live,COUNTIF(cat,live)=0)),11),""))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IF($M$2&lt;&gt;"Square Bar","",IFERROR(INDEX(LET(cat,$C$55:$C$70,box,VSTACK($P$2,$L$7:$L$26),live,UNIQUE(FILTER(VSTACK(cat,box),VSTACK(cat,box)&lt;&gt;"")),FILTER(live,COUNTIF(cat,live)=0)),12),""))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IF($M$2&lt;&gt;"Square Bar","",IFERROR(INDEX(LET(cat,$C$55:$C$70,box,VSTACK($P$2,$L$7:$L$26),live,UNIQUE(FILTER(VSTACK(cat,box),VSTACK(cat,box)&lt;&gt;"")),FILTER(live,COUNTIF(cat,live)=0)),13),""))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IF($M$2&lt;&gt;"Square Bar","",IFERROR(INDEX(LET(cat,$C$55:$C$70,box,VSTACK($P$2,$L$7:$L$26),live,UNIQUE(FILTER(VSTACK(cat,box),VSTACK(cat,box)&lt;&gt;"")),FILTER(live,COUNTIF(cat,live)=0)),14),""))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IF($M$2&lt;&gt;"Square Bar","",IFERROR(INDEX(LET(cat,$C$55:$C$70,box,VSTACK($P$2,$L$7:$L$26),live,UNIQUE(FILTER(VSTACK(cat,box),VSTACK(cat,box)&lt;&gt;"")),FILTER(live,COUNTIF(cat,live)=0)),15),""))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IF($M$2&lt;&gt;"Square Bar","",IFERROR(INDEX(LET(cat,$C$55:$C$70,box,VSTACK($P$2,$L$7:$L$26),live,UNIQUE(FILTER(VSTACK(cat,box),VSTACK(cat,box)&lt;&gt;"")),FILTER(live,COUNTIF(cat,live)=0)),16),""))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IF($M$2&lt;&gt;"Square Bar","",IFERROR(INDEX(LET(cat,$C$55:$C$70,box,VSTACK($P$2,$L$7:$L$26),live,UNIQUE(FILTER(VSTACK(cat,box),VSTACK(cat,box)&lt;&gt;"")),FILTER(live,COUNTIF(cat,live)=0)),17),""))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IF($M$2&lt;&gt;"Square Bar","",IFERROR(INDEX(LET(cat,$C$55:$C$70,box,VSTACK($P$2,$L$7:$L$26),live,UNIQUE(FILTER(VSTACK(cat,box),VSTACK(cat,box)&lt;&gt;"")),FILTER(live,COUNTIF(cat,live)=0)),18),""))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0" t="inlineStr"/>
      <c r="B89" s="47" t="inlineStr"/>
      <c r="C89" s="48">
        <f>IF($M$2&lt;&gt;"Square Bar","",IFERROR(INDEX(LET(cat,$C$55:$C$70,box,VSTACK($P$2,$L$7:$L$26),live,UNIQUE(FILTER(VSTACK(cat,box),VSTACK(cat,box)&lt;&gt;"")),FILTER(live,COUNTIF(cat,live)=0)),19),""))</f>
        <v/>
      </c>
      <c r="D89" s="49" t="n"/>
      <c r="E89" s="49">
        <f>$I$3</f>
        <v/>
      </c>
      <c r="F89" s="50">
        <f>IF(D89="","",D89+$I$3)</f>
        <v/>
      </c>
      <c r="G89" s="47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6" t="inlineStr"/>
      <c r="B90" s="42" t="inlineStr"/>
      <c r="C90" s="43">
        <f>IF($M$2&lt;&gt;"Square Bar","",IFERROR(INDEX(LET(cat,$C$55:$C$70,box,VSTACK($P$2,$L$7:$L$26),live,UNIQUE(FILTER(VSTACK(cat,box),VSTACK(cat,box)&lt;&gt;"")),FILTER(live,COUNTIF(cat,live)=0)),20),""))</f>
        <v/>
      </c>
      <c r="D90" s="44" t="n"/>
      <c r="E90" s="44">
        <f>$I$3</f>
        <v/>
      </c>
      <c r="F90" s="45">
        <f>IF(D90="","",D90+$I$3)</f>
        <v/>
      </c>
      <c r="G90" s="42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 ht="22" customHeight="1">
      <c r="A92" s="38" t="inlineStr">
        <is>
          <t>FLAT BAR</t>
        </is>
      </c>
      <c r="B92" s="38" t="n"/>
      <c r="C92" s="38" t="n"/>
      <c r="D92" s="38" t="n"/>
      <c r="E92" s="38" t="n"/>
      <c r="F92" s="38" t="n"/>
      <c r="G92" s="38" t="n"/>
      <c r="H92" s="38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 ht="22" customHeight="1">
      <c r="A93" s="13" t="inlineStr">
        <is>
          <t>Sub-type</t>
        </is>
      </c>
      <c r="B93" s="13" t="inlineStr">
        <is>
          <t>Make / notes</t>
        </is>
      </c>
      <c r="C93" s="13" t="inlineStr">
        <is>
          <t>Thickness (mm)</t>
        </is>
      </c>
      <c r="D93" s="13" t="inlineStr">
        <is>
          <t>Width (mm)</t>
        </is>
      </c>
      <c r="E93" s="13" t="inlineStr">
        <is>
          <t>Size</t>
        </is>
      </c>
      <c r="F93" s="13" t="inlineStr">
        <is>
          <t>Base Price (Rs/kg)</t>
        </is>
      </c>
      <c r="G93" s="13" t="inlineStr">
        <is>
          <t>Daily Adj</t>
        </is>
      </c>
      <c r="H93" s="13" t="inlineStr">
        <is>
          <t>Selling Price (Rs/kg)</t>
        </is>
      </c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6" t="inlineStr">
        <is>
          <t>Rolled</t>
        </is>
      </c>
      <c r="B94" s="42" t="inlineStr"/>
      <c r="C94" s="14" t="n">
        <v>6</v>
      </c>
      <c r="D94" s="14" t="n">
        <v>25</v>
      </c>
      <c r="E94" s="43" t="inlineStr">
        <is>
          <t>6x25</t>
        </is>
      </c>
      <c r="F94" s="44" t="n"/>
      <c r="G94" s="44">
        <f>$I$3</f>
        <v/>
      </c>
      <c r="H94" s="45">
        <f>IF(F94="","",F94+$I$3)</f>
        <v/>
      </c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0" t="inlineStr">
        <is>
          <t>Rolled</t>
        </is>
      </c>
      <c r="B95" s="47" t="inlineStr"/>
      <c r="C95" s="18" t="n">
        <v>6</v>
      </c>
      <c r="D95" s="18" t="n">
        <v>32</v>
      </c>
      <c r="E95" s="48" t="inlineStr">
        <is>
          <t>6x32</t>
        </is>
      </c>
      <c r="F95" s="49" t="n"/>
      <c r="G95" s="49">
        <f>$I$3</f>
        <v/>
      </c>
      <c r="H95" s="50">
        <f>IF(F95="","",F95+$I$3)</f>
        <v/>
      </c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6" t="inlineStr">
        <is>
          <t>Rolled</t>
        </is>
      </c>
      <c r="B96" s="42" t="inlineStr"/>
      <c r="C96" s="14" t="n">
        <v>6</v>
      </c>
      <c r="D96" s="14" t="n">
        <v>40</v>
      </c>
      <c r="E96" s="43" t="inlineStr">
        <is>
          <t>6x40</t>
        </is>
      </c>
      <c r="F96" s="44" t="n"/>
      <c r="G96" s="44">
        <f>$I$3</f>
        <v/>
      </c>
      <c r="H96" s="45">
        <f>IF(F96="","",F96+$I$3)</f>
        <v/>
      </c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0" t="inlineStr">
        <is>
          <t>Rolled</t>
        </is>
      </c>
      <c r="B97" s="47" t="inlineStr"/>
      <c r="C97" s="18" t="n">
        <v>6</v>
      </c>
      <c r="D97" s="18" t="n">
        <v>50</v>
      </c>
      <c r="E97" s="48" t="inlineStr">
        <is>
          <t>6x50</t>
        </is>
      </c>
      <c r="F97" s="49" t="n"/>
      <c r="G97" s="49">
        <f>$I$3</f>
        <v/>
      </c>
      <c r="H97" s="50">
        <f>IF(F97="","",F97+$I$3)</f>
        <v/>
      </c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6" t="inlineStr">
        <is>
          <t>Rolled</t>
        </is>
      </c>
      <c r="B98" s="42" t="inlineStr"/>
      <c r="C98" s="14" t="n">
        <v>6</v>
      </c>
      <c r="D98" s="14" t="n">
        <v>63</v>
      </c>
      <c r="E98" s="43" t="inlineStr">
        <is>
          <t>6x63</t>
        </is>
      </c>
      <c r="F98" s="44" t="n"/>
      <c r="G98" s="44">
        <f>$I$3</f>
        <v/>
      </c>
      <c r="H98" s="45">
        <f>IF(F98="","",F98+$I$3)</f>
        <v/>
      </c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0" t="inlineStr">
        <is>
          <t>Rolled</t>
        </is>
      </c>
      <c r="B99" s="47" t="inlineStr"/>
      <c r="C99" s="18" t="n">
        <v>6</v>
      </c>
      <c r="D99" s="18" t="n">
        <v>75</v>
      </c>
      <c r="E99" s="48" t="inlineStr">
        <is>
          <t>6x75</t>
        </is>
      </c>
      <c r="F99" s="49" t="n"/>
      <c r="G99" s="49">
        <f>$I$3</f>
        <v/>
      </c>
      <c r="H99" s="50">
        <f>IF(F99="","",F99+$I$3)</f>
        <v/>
      </c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16" t="inlineStr">
        <is>
          <t>Rolled</t>
        </is>
      </c>
      <c r="B100" s="42" t="inlineStr"/>
      <c r="C100" s="14" t="n">
        <v>6</v>
      </c>
      <c r="D100" s="14" t="n">
        <v>100</v>
      </c>
      <c r="E100" s="43" t="inlineStr">
        <is>
          <t>6x100</t>
        </is>
      </c>
      <c r="F100" s="44" t="n"/>
      <c r="G100" s="44">
        <f>$I$3</f>
        <v/>
      </c>
      <c r="H100" s="45">
        <f>IF(F100="","",F100+$I$3)</f>
        <v/>
      </c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0" t="inlineStr">
        <is>
          <t>Rolled</t>
        </is>
      </c>
      <c r="B101" s="47" t="inlineStr"/>
      <c r="C101" s="18" t="n">
        <v>10</v>
      </c>
      <c r="D101" s="18" t="n">
        <v>25</v>
      </c>
      <c r="E101" s="48" t="inlineStr">
        <is>
          <t>10x25</t>
        </is>
      </c>
      <c r="F101" s="49" t="n"/>
      <c r="G101" s="49">
        <f>$I$3</f>
        <v/>
      </c>
      <c r="H101" s="50">
        <f>IF(F101="","",F101+$I$3)</f>
        <v/>
      </c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16" t="inlineStr">
        <is>
          <t>Rolled</t>
        </is>
      </c>
      <c r="B102" s="42" t="inlineStr"/>
      <c r="C102" s="14" t="n">
        <v>10</v>
      </c>
      <c r="D102" s="14" t="n">
        <v>32</v>
      </c>
      <c r="E102" s="43" t="inlineStr">
        <is>
          <t>10x32</t>
        </is>
      </c>
      <c r="F102" s="44" t="n"/>
      <c r="G102" s="44">
        <f>$I$3</f>
        <v/>
      </c>
      <c r="H102" s="45">
        <f>IF(F102="","",F102+$I$3)</f>
        <v/>
      </c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0" t="inlineStr">
        <is>
          <t>Rolled</t>
        </is>
      </c>
      <c r="B103" s="47" t="inlineStr"/>
      <c r="C103" s="18" t="n">
        <v>10</v>
      </c>
      <c r="D103" s="18" t="n">
        <v>40</v>
      </c>
      <c r="E103" s="48" t="inlineStr">
        <is>
          <t>10x40</t>
        </is>
      </c>
      <c r="F103" s="49" t="n"/>
      <c r="G103" s="49">
        <f>$I$3</f>
        <v/>
      </c>
      <c r="H103" s="50">
        <f>IF(F103="","",F103+$I$3)</f>
        <v/>
      </c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16" t="inlineStr">
        <is>
          <t>Rolled</t>
        </is>
      </c>
      <c r="B104" s="42" t="inlineStr"/>
      <c r="C104" s="14" t="n">
        <v>10</v>
      </c>
      <c r="D104" s="14" t="n">
        <v>50</v>
      </c>
      <c r="E104" s="43" t="inlineStr">
        <is>
          <t>10x50</t>
        </is>
      </c>
      <c r="F104" s="44" t="n"/>
      <c r="G104" s="44">
        <f>$I$3</f>
        <v/>
      </c>
      <c r="H104" s="45">
        <f>IF(F104="","",F104+$I$3)</f>
        <v/>
      </c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0" t="inlineStr">
        <is>
          <t>Rolled</t>
        </is>
      </c>
      <c r="B105" s="47" t="inlineStr"/>
      <c r="C105" s="18" t="n">
        <v>10</v>
      </c>
      <c r="D105" s="18" t="n">
        <v>63</v>
      </c>
      <c r="E105" s="48" t="inlineStr">
        <is>
          <t>10x63</t>
        </is>
      </c>
      <c r="F105" s="49" t="n"/>
      <c r="G105" s="49">
        <f>$I$3</f>
        <v/>
      </c>
      <c r="H105" s="50">
        <f>IF(F105="","",F105+$I$3)</f>
        <v/>
      </c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16" t="inlineStr">
        <is>
          <t>Rolled</t>
        </is>
      </c>
      <c r="B106" s="42" t="inlineStr"/>
      <c r="C106" s="14" t="n">
        <v>10</v>
      </c>
      <c r="D106" s="14" t="n">
        <v>75</v>
      </c>
      <c r="E106" s="43" t="inlineStr">
        <is>
          <t>10x75</t>
        </is>
      </c>
      <c r="F106" s="44" t="n"/>
      <c r="G106" s="44">
        <f>$I$3</f>
        <v/>
      </c>
      <c r="H106" s="45">
        <f>IF(F106="","",F106+$I$3)</f>
        <v/>
      </c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Rolled</t>
        </is>
      </c>
      <c r="B107" s="47" t="inlineStr"/>
      <c r="C107" s="18" t="n">
        <v>10</v>
      </c>
      <c r="D107" s="18" t="n">
        <v>100</v>
      </c>
      <c r="E107" s="48" t="inlineStr">
        <is>
          <t>10x100</t>
        </is>
      </c>
      <c r="F107" s="49" t="n"/>
      <c r="G107" s="49">
        <f>$I$3</f>
        <v/>
      </c>
      <c r="H107" s="50">
        <f>IF(F107="","",F107+$I$3)</f>
        <v/>
      </c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16" t="inlineStr">
        <is>
          <t>Rolled</t>
        </is>
      </c>
      <c r="B108" s="42" t="inlineStr"/>
      <c r="C108" s="14" t="n">
        <v>10</v>
      </c>
      <c r="D108" s="14" t="n">
        <v>125</v>
      </c>
      <c r="E108" s="43" t="inlineStr">
        <is>
          <t>10x125</t>
        </is>
      </c>
      <c r="F108" s="44" t="n"/>
      <c r="G108" s="44">
        <f>$I$3</f>
        <v/>
      </c>
      <c r="H108" s="45">
        <f>IF(F108="","",F108+$I$3)</f>
        <v/>
      </c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0" t="inlineStr">
        <is>
          <t>Rolled</t>
        </is>
      </c>
      <c r="B109" s="47" t="inlineStr"/>
      <c r="C109" s="18" t="n">
        <v>12</v>
      </c>
      <c r="D109" s="18" t="n">
        <v>25</v>
      </c>
      <c r="E109" s="48" t="inlineStr">
        <is>
          <t>12x25</t>
        </is>
      </c>
      <c r="F109" s="49" t="n"/>
      <c r="G109" s="49">
        <f>$I$3</f>
        <v/>
      </c>
      <c r="H109" s="50">
        <f>IF(F109="","",F109+$I$3)</f>
        <v/>
      </c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16" t="inlineStr">
        <is>
          <t>Rolled</t>
        </is>
      </c>
      <c r="B110" s="42" t="inlineStr"/>
      <c r="C110" s="14" t="n">
        <v>12</v>
      </c>
      <c r="D110" s="14" t="n">
        <v>32</v>
      </c>
      <c r="E110" s="43" t="inlineStr">
        <is>
          <t>12x32</t>
        </is>
      </c>
      <c r="F110" s="44" t="n"/>
      <c r="G110" s="44">
        <f>$I$3</f>
        <v/>
      </c>
      <c r="H110" s="45">
        <f>IF(F110="","",F110+$I$3)</f>
        <v/>
      </c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0" t="inlineStr">
        <is>
          <t>Rolled</t>
        </is>
      </c>
      <c r="B111" s="47" t="inlineStr"/>
      <c r="C111" s="18" t="n">
        <v>12</v>
      </c>
      <c r="D111" s="18" t="n">
        <v>40</v>
      </c>
      <c r="E111" s="48" t="inlineStr">
        <is>
          <t>12x40</t>
        </is>
      </c>
      <c r="F111" s="49" t="n"/>
      <c r="G111" s="49">
        <f>$I$3</f>
        <v/>
      </c>
      <c r="H111" s="50">
        <f>IF(F111="","",F111+$I$3)</f>
        <v/>
      </c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16" t="inlineStr">
        <is>
          <t>Rolled</t>
        </is>
      </c>
      <c r="B112" s="42" t="inlineStr"/>
      <c r="C112" s="14" t="n">
        <v>12</v>
      </c>
      <c r="D112" s="14" t="n">
        <v>50</v>
      </c>
      <c r="E112" s="43" t="inlineStr">
        <is>
          <t>12x50</t>
        </is>
      </c>
      <c r="F112" s="44" t="n"/>
      <c r="G112" s="44">
        <f>$I$3</f>
        <v/>
      </c>
      <c r="H112" s="45">
        <f>IF(F112="","",F112+$I$3)</f>
        <v/>
      </c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0" t="inlineStr">
        <is>
          <t>Rolled</t>
        </is>
      </c>
      <c r="B113" s="47" t="inlineStr"/>
      <c r="C113" s="18" t="n">
        <v>12</v>
      </c>
      <c r="D113" s="18" t="n">
        <v>63</v>
      </c>
      <c r="E113" s="48" t="inlineStr">
        <is>
          <t>12x63</t>
        </is>
      </c>
      <c r="F113" s="49" t="n"/>
      <c r="G113" s="49">
        <f>$I$3</f>
        <v/>
      </c>
      <c r="H113" s="50">
        <f>IF(F113="","",F113+$I$3)</f>
        <v/>
      </c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16" t="inlineStr">
        <is>
          <t>Rolled</t>
        </is>
      </c>
      <c r="B114" s="42" t="inlineStr"/>
      <c r="C114" s="14" t="n">
        <v>12</v>
      </c>
      <c r="D114" s="14" t="n">
        <v>75</v>
      </c>
      <c r="E114" s="43" t="inlineStr">
        <is>
          <t>12x75</t>
        </is>
      </c>
      <c r="F114" s="44" t="n"/>
      <c r="G114" s="44">
        <f>$I$3</f>
        <v/>
      </c>
      <c r="H114" s="45">
        <f>IF(F114="","",F114+$I$3)</f>
        <v/>
      </c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0" t="inlineStr">
        <is>
          <t>Rolled</t>
        </is>
      </c>
      <c r="B115" s="47" t="inlineStr"/>
      <c r="C115" s="18" t="n">
        <v>12</v>
      </c>
      <c r="D115" s="18" t="n">
        <v>100</v>
      </c>
      <c r="E115" s="48" t="inlineStr">
        <is>
          <t>12x100</t>
        </is>
      </c>
      <c r="F115" s="49" t="n"/>
      <c r="G115" s="49">
        <f>$I$3</f>
        <v/>
      </c>
      <c r="H115" s="50">
        <f>IF(F115="","",F115+$I$3)</f>
        <v/>
      </c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16" t="inlineStr">
        <is>
          <t>Rolled</t>
        </is>
      </c>
      <c r="B116" s="42" t="inlineStr"/>
      <c r="C116" s="14" t="n">
        <v>12</v>
      </c>
      <c r="D116" s="14" t="n">
        <v>125</v>
      </c>
      <c r="E116" s="43" t="inlineStr">
        <is>
          <t>12x125</t>
        </is>
      </c>
      <c r="F116" s="44" t="n"/>
      <c r="G116" s="44">
        <f>$I$3</f>
        <v/>
      </c>
      <c r="H116" s="45">
        <f>IF(F116="","",F116+$I$3)</f>
        <v/>
      </c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0" t="inlineStr">
        <is>
          <t>Rolled</t>
        </is>
      </c>
      <c r="B117" s="47" t="inlineStr"/>
      <c r="C117" s="18" t="n">
        <v>16</v>
      </c>
      <c r="D117" s="18" t="n">
        <v>25</v>
      </c>
      <c r="E117" s="48" t="inlineStr">
        <is>
          <t>16x25</t>
        </is>
      </c>
      <c r="F117" s="49" t="n"/>
      <c r="G117" s="49">
        <f>$I$3</f>
        <v/>
      </c>
      <c r="H117" s="50">
        <f>IF(F117="","",F117+$I$3)</f>
        <v/>
      </c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16" t="inlineStr">
        <is>
          <t>Rolled</t>
        </is>
      </c>
      <c r="B118" s="42" t="inlineStr"/>
      <c r="C118" s="14" t="n">
        <v>16</v>
      </c>
      <c r="D118" s="14" t="n">
        <v>32</v>
      </c>
      <c r="E118" s="43" t="inlineStr">
        <is>
          <t>16x32</t>
        </is>
      </c>
      <c r="F118" s="44" t="n"/>
      <c r="G118" s="44">
        <f>$I$3</f>
        <v/>
      </c>
      <c r="H118" s="45">
        <f>IF(F118="","",F118+$I$3)</f>
        <v/>
      </c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0" t="inlineStr">
        <is>
          <t>Rolled</t>
        </is>
      </c>
      <c r="B119" s="47" t="inlineStr"/>
      <c r="C119" s="18" t="n">
        <v>16</v>
      </c>
      <c r="D119" s="18" t="n">
        <v>40</v>
      </c>
      <c r="E119" s="48" t="inlineStr">
        <is>
          <t>16x40</t>
        </is>
      </c>
      <c r="F119" s="49" t="n"/>
      <c r="G119" s="49">
        <f>$I$3</f>
        <v/>
      </c>
      <c r="H119" s="50">
        <f>IF(F119="","",F119+$I$3)</f>
        <v/>
      </c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16" t="inlineStr">
        <is>
          <t>Rolled</t>
        </is>
      </c>
      <c r="B120" s="42" t="inlineStr"/>
      <c r="C120" s="14" t="n">
        <v>16</v>
      </c>
      <c r="D120" s="14" t="n">
        <v>50</v>
      </c>
      <c r="E120" s="43" t="inlineStr">
        <is>
          <t>16x50</t>
        </is>
      </c>
      <c r="F120" s="44" t="n"/>
      <c r="G120" s="44">
        <f>$I$3</f>
        <v/>
      </c>
      <c r="H120" s="45">
        <f>IF(F120="","",F120+$I$3)</f>
        <v/>
      </c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0" t="inlineStr">
        <is>
          <t>Rolled</t>
        </is>
      </c>
      <c r="B121" s="47" t="inlineStr"/>
      <c r="C121" s="18" t="n">
        <v>16</v>
      </c>
      <c r="D121" s="18" t="n">
        <v>63</v>
      </c>
      <c r="E121" s="48" t="inlineStr">
        <is>
          <t>16x63</t>
        </is>
      </c>
      <c r="F121" s="49" t="n"/>
      <c r="G121" s="49">
        <f>$I$3</f>
        <v/>
      </c>
      <c r="H121" s="50">
        <f>IF(F121="","",F121+$I$3)</f>
        <v/>
      </c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16" t="inlineStr">
        <is>
          <t>Rolled</t>
        </is>
      </c>
      <c r="B122" s="42" t="inlineStr"/>
      <c r="C122" s="14" t="n">
        <v>16</v>
      </c>
      <c r="D122" s="14" t="n">
        <v>75</v>
      </c>
      <c r="E122" s="43" t="inlineStr">
        <is>
          <t>16x75</t>
        </is>
      </c>
      <c r="F122" s="44" t="n"/>
      <c r="G122" s="44">
        <f>$I$3</f>
        <v/>
      </c>
      <c r="H122" s="45">
        <f>IF(F122="","",F122+$I$3)</f>
        <v/>
      </c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0" t="inlineStr">
        <is>
          <t>Rolled</t>
        </is>
      </c>
      <c r="B123" s="47" t="inlineStr"/>
      <c r="C123" s="18" t="n">
        <v>16</v>
      </c>
      <c r="D123" s="18" t="n">
        <v>100</v>
      </c>
      <c r="E123" s="48" t="inlineStr">
        <is>
          <t>16x100</t>
        </is>
      </c>
      <c r="F123" s="49" t="n"/>
      <c r="G123" s="49">
        <f>$I$3</f>
        <v/>
      </c>
      <c r="H123" s="50">
        <f>IF(F123="","",F123+$I$3)</f>
        <v/>
      </c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16" t="inlineStr">
        <is>
          <t>Rolled</t>
        </is>
      </c>
      <c r="B124" s="42" t="inlineStr"/>
      <c r="C124" s="14" t="n">
        <v>16</v>
      </c>
      <c r="D124" s="14" t="n">
        <v>125</v>
      </c>
      <c r="E124" s="43" t="inlineStr">
        <is>
          <t>16x125</t>
        </is>
      </c>
      <c r="F124" s="44" t="n"/>
      <c r="G124" s="44">
        <f>$I$3</f>
        <v/>
      </c>
      <c r="H124" s="45">
        <f>IF(F124="","",F124+$I$3)</f>
        <v/>
      </c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0" t="inlineStr">
        <is>
          <t>Rolled</t>
        </is>
      </c>
      <c r="B125" s="47" t="inlineStr"/>
      <c r="C125" s="18" t="n">
        <v>16</v>
      </c>
      <c r="D125" s="18" t="n">
        <v>155</v>
      </c>
      <c r="E125" s="48" t="inlineStr">
        <is>
          <t>16x155</t>
        </is>
      </c>
      <c r="F125" s="49" t="n"/>
      <c r="G125" s="49">
        <f>$I$3</f>
        <v/>
      </c>
      <c r="H125" s="50">
        <f>IF(F125="","",F125+$I$3)</f>
        <v/>
      </c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16" t="inlineStr">
        <is>
          <t>Rolled</t>
        </is>
      </c>
      <c r="B126" s="42" t="inlineStr"/>
      <c r="C126" s="14" t="n">
        <v>20</v>
      </c>
      <c r="D126" s="14" t="n">
        <v>32</v>
      </c>
      <c r="E126" s="43" t="inlineStr">
        <is>
          <t>20x32</t>
        </is>
      </c>
      <c r="F126" s="44" t="n"/>
      <c r="G126" s="44">
        <f>$I$3</f>
        <v/>
      </c>
      <c r="H126" s="45">
        <f>IF(F126="","",F126+$I$3)</f>
        <v/>
      </c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0" t="inlineStr">
        <is>
          <t>Rolled</t>
        </is>
      </c>
      <c r="B127" s="47" t="inlineStr"/>
      <c r="C127" s="18" t="n">
        <v>20</v>
      </c>
      <c r="D127" s="18" t="n">
        <v>40</v>
      </c>
      <c r="E127" s="48" t="inlineStr">
        <is>
          <t>20x40</t>
        </is>
      </c>
      <c r="F127" s="49" t="n"/>
      <c r="G127" s="49">
        <f>$I$3</f>
        <v/>
      </c>
      <c r="H127" s="50">
        <f>IF(F127="","",F127+$I$3)</f>
        <v/>
      </c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16" t="inlineStr">
        <is>
          <t>Rolled</t>
        </is>
      </c>
      <c r="B128" s="42" t="inlineStr"/>
      <c r="C128" s="14" t="n">
        <v>20</v>
      </c>
      <c r="D128" s="14" t="n">
        <v>50</v>
      </c>
      <c r="E128" s="43" t="inlineStr">
        <is>
          <t>20x50</t>
        </is>
      </c>
      <c r="F128" s="44" t="n"/>
      <c r="G128" s="44">
        <f>$I$3</f>
        <v/>
      </c>
      <c r="H128" s="45">
        <f>IF(F128="","",F128+$I$3)</f>
        <v/>
      </c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0" t="inlineStr">
        <is>
          <t>Rolled</t>
        </is>
      </c>
      <c r="B129" s="47" t="inlineStr"/>
      <c r="C129" s="18" t="n">
        <v>20</v>
      </c>
      <c r="D129" s="18" t="n">
        <v>63</v>
      </c>
      <c r="E129" s="48" t="inlineStr">
        <is>
          <t>20x63</t>
        </is>
      </c>
      <c r="F129" s="49" t="n"/>
      <c r="G129" s="49">
        <f>$I$3</f>
        <v/>
      </c>
      <c r="H129" s="50">
        <f>IF(F129="","",F129+$I$3)</f>
        <v/>
      </c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16" t="inlineStr">
        <is>
          <t>Rolled</t>
        </is>
      </c>
      <c r="B130" s="42" t="inlineStr"/>
      <c r="C130" s="14" t="n">
        <v>20</v>
      </c>
      <c r="D130" s="14" t="n">
        <v>75</v>
      </c>
      <c r="E130" s="43" t="inlineStr">
        <is>
          <t>20x75</t>
        </is>
      </c>
      <c r="F130" s="44" t="n"/>
      <c r="G130" s="44">
        <f>$I$3</f>
        <v/>
      </c>
      <c r="H130" s="45">
        <f>IF(F130="","",F130+$I$3)</f>
        <v/>
      </c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0" t="inlineStr">
        <is>
          <t>Rolled</t>
        </is>
      </c>
      <c r="B131" s="47" t="inlineStr"/>
      <c r="C131" s="18" t="n">
        <v>20</v>
      </c>
      <c r="D131" s="18" t="n">
        <v>100</v>
      </c>
      <c r="E131" s="48" t="inlineStr">
        <is>
          <t>20x100</t>
        </is>
      </c>
      <c r="F131" s="49" t="n"/>
      <c r="G131" s="49">
        <f>$I$3</f>
        <v/>
      </c>
      <c r="H131" s="50">
        <f>IF(F131="","",F131+$I$3)</f>
        <v/>
      </c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16" t="inlineStr">
        <is>
          <t>Rolled</t>
        </is>
      </c>
      <c r="B132" s="42" t="inlineStr"/>
      <c r="C132" s="14" t="n">
        <v>20</v>
      </c>
      <c r="D132" s="14" t="n">
        <v>125</v>
      </c>
      <c r="E132" s="43" t="inlineStr">
        <is>
          <t>20x125</t>
        </is>
      </c>
      <c r="F132" s="44" t="n"/>
      <c r="G132" s="44">
        <f>$I$3</f>
        <v/>
      </c>
      <c r="H132" s="45">
        <f>IF(F132="","",F132+$I$3)</f>
        <v/>
      </c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0" t="inlineStr">
        <is>
          <t>Rolled</t>
        </is>
      </c>
      <c r="B133" s="47" t="inlineStr"/>
      <c r="C133" s="18" t="n">
        <v>20</v>
      </c>
      <c r="D133" s="18" t="n">
        <v>155</v>
      </c>
      <c r="E133" s="48" t="inlineStr">
        <is>
          <t>20x155</t>
        </is>
      </c>
      <c r="F133" s="49" t="n"/>
      <c r="G133" s="49">
        <f>$I$3</f>
        <v/>
      </c>
      <c r="H133" s="50">
        <f>IF(F133="","",F133+$I$3)</f>
        <v/>
      </c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16" t="inlineStr">
        <is>
          <t>Rolled</t>
        </is>
      </c>
      <c r="B134" s="42" t="inlineStr"/>
      <c r="C134" s="14" t="n">
        <v>20</v>
      </c>
      <c r="D134" s="14" t="n">
        <v>200</v>
      </c>
      <c r="E134" s="43" t="inlineStr">
        <is>
          <t>20x200</t>
        </is>
      </c>
      <c r="F134" s="44" t="n"/>
      <c r="G134" s="44">
        <f>$I$3</f>
        <v/>
      </c>
      <c r="H134" s="45">
        <f>IF(F134="","",F134+$I$3)</f>
        <v/>
      </c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0" t="inlineStr">
        <is>
          <t>Rolled</t>
        </is>
      </c>
      <c r="B135" s="47" t="inlineStr"/>
      <c r="C135" s="18" t="n">
        <v>25</v>
      </c>
      <c r="D135" s="18" t="n">
        <v>40</v>
      </c>
      <c r="E135" s="48" t="inlineStr">
        <is>
          <t>25x40</t>
        </is>
      </c>
      <c r="F135" s="49" t="n"/>
      <c r="G135" s="49">
        <f>$I$3</f>
        <v/>
      </c>
      <c r="H135" s="50">
        <f>IF(F135="","",F135+$I$3)</f>
        <v/>
      </c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16" t="inlineStr">
        <is>
          <t>Rolled</t>
        </is>
      </c>
      <c r="B136" s="42" t="inlineStr"/>
      <c r="C136" s="14" t="n">
        <v>25</v>
      </c>
      <c r="D136" s="14" t="n">
        <v>50</v>
      </c>
      <c r="E136" s="43" t="inlineStr">
        <is>
          <t>25x50</t>
        </is>
      </c>
      <c r="F136" s="44" t="n"/>
      <c r="G136" s="44">
        <f>$I$3</f>
        <v/>
      </c>
      <c r="H136" s="45">
        <f>IF(F136="","",F136+$I$3)</f>
        <v/>
      </c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0" t="inlineStr">
        <is>
          <t>Rolled</t>
        </is>
      </c>
      <c r="B137" s="47" t="inlineStr"/>
      <c r="C137" s="18" t="n">
        <v>25</v>
      </c>
      <c r="D137" s="18" t="n">
        <v>63</v>
      </c>
      <c r="E137" s="48" t="inlineStr">
        <is>
          <t>25x63</t>
        </is>
      </c>
      <c r="F137" s="49" t="n"/>
      <c r="G137" s="49">
        <f>$I$3</f>
        <v/>
      </c>
      <c r="H137" s="50">
        <f>IF(F137="","",F137+$I$3)</f>
        <v/>
      </c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16" t="inlineStr">
        <is>
          <t>Rolled</t>
        </is>
      </c>
      <c r="B138" s="42" t="inlineStr"/>
      <c r="C138" s="14" t="n">
        <v>25</v>
      </c>
      <c r="D138" s="14" t="n">
        <v>75</v>
      </c>
      <c r="E138" s="43" t="inlineStr">
        <is>
          <t>25x75</t>
        </is>
      </c>
      <c r="F138" s="44" t="n"/>
      <c r="G138" s="44">
        <f>$I$3</f>
        <v/>
      </c>
      <c r="H138" s="45">
        <f>IF(F138="","",F138+$I$3)</f>
        <v/>
      </c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0" t="inlineStr">
        <is>
          <t>Rolled</t>
        </is>
      </c>
      <c r="B139" s="47" t="inlineStr"/>
      <c r="C139" s="18" t="n">
        <v>25</v>
      </c>
      <c r="D139" s="18" t="n">
        <v>100</v>
      </c>
      <c r="E139" s="48" t="inlineStr">
        <is>
          <t>25x100</t>
        </is>
      </c>
      <c r="F139" s="49" t="n"/>
      <c r="G139" s="49">
        <f>$I$3</f>
        <v/>
      </c>
      <c r="H139" s="50">
        <f>IF(F139="","",F139+$I$3)</f>
        <v/>
      </c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16" t="inlineStr">
        <is>
          <t>Rolled</t>
        </is>
      </c>
      <c r="B140" s="42" t="inlineStr"/>
      <c r="C140" s="14" t="n">
        <v>25</v>
      </c>
      <c r="D140" s="14" t="n">
        <v>125</v>
      </c>
      <c r="E140" s="43" t="inlineStr">
        <is>
          <t>25x125</t>
        </is>
      </c>
      <c r="F140" s="44" t="n"/>
      <c r="G140" s="44">
        <f>$I$3</f>
        <v/>
      </c>
      <c r="H140" s="45">
        <f>IF(F140="","",F140+$I$3)</f>
        <v/>
      </c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0" t="inlineStr">
        <is>
          <t>Rolled</t>
        </is>
      </c>
      <c r="B141" s="47" t="inlineStr"/>
      <c r="C141" s="18" t="n">
        <v>25</v>
      </c>
      <c r="D141" s="18" t="n">
        <v>155</v>
      </c>
      <c r="E141" s="48" t="inlineStr">
        <is>
          <t>25x155</t>
        </is>
      </c>
      <c r="F141" s="49" t="n"/>
      <c r="G141" s="49">
        <f>$I$3</f>
        <v/>
      </c>
      <c r="H141" s="50">
        <f>IF(F141="","",F141+$I$3)</f>
        <v/>
      </c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16" t="inlineStr">
        <is>
          <t>Rolled</t>
        </is>
      </c>
      <c r="B142" s="42" t="inlineStr"/>
      <c r="C142" s="14" t="n">
        <v>25</v>
      </c>
      <c r="D142" s="14" t="n">
        <v>200</v>
      </c>
      <c r="E142" s="43" t="inlineStr">
        <is>
          <t>25x200</t>
        </is>
      </c>
      <c r="F142" s="44" t="n"/>
      <c r="G142" s="44">
        <f>$I$3</f>
        <v/>
      </c>
      <c r="H142" s="45">
        <f>IF(F142="","",F142+$I$3)</f>
        <v/>
      </c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0" t="inlineStr">
        <is>
          <t>Rolled</t>
        </is>
      </c>
      <c r="B143" s="47" t="inlineStr"/>
      <c r="C143" s="18" t="n">
        <v>25</v>
      </c>
      <c r="D143" s="18" t="n">
        <v>250</v>
      </c>
      <c r="E143" s="48" t="inlineStr">
        <is>
          <t>25x250</t>
        </is>
      </c>
      <c r="F143" s="49" t="n"/>
      <c r="G143" s="49">
        <f>$I$3</f>
        <v/>
      </c>
      <c r="H143" s="50">
        <f>IF(F143="","",F143+$I$3)</f>
        <v/>
      </c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16" t="inlineStr">
        <is>
          <t>Rolled</t>
        </is>
      </c>
      <c r="B144" s="42" t="inlineStr"/>
      <c r="C144" s="14" t="n">
        <v>32</v>
      </c>
      <c r="D144" s="14" t="n">
        <v>40</v>
      </c>
      <c r="E144" s="43" t="inlineStr">
        <is>
          <t>32x40</t>
        </is>
      </c>
      <c r="F144" s="44" t="n"/>
      <c r="G144" s="44">
        <f>$I$3</f>
        <v/>
      </c>
      <c r="H144" s="45">
        <f>IF(F144="","",F144+$I$3)</f>
        <v/>
      </c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0" t="inlineStr">
        <is>
          <t>Rolled</t>
        </is>
      </c>
      <c r="B145" s="47" t="inlineStr"/>
      <c r="C145" s="18" t="n">
        <v>32</v>
      </c>
      <c r="D145" s="18" t="n">
        <v>50</v>
      </c>
      <c r="E145" s="48" t="inlineStr">
        <is>
          <t>32x50</t>
        </is>
      </c>
      <c r="F145" s="49" t="n"/>
      <c r="G145" s="49">
        <f>$I$3</f>
        <v/>
      </c>
      <c r="H145" s="50">
        <f>IF(F145="","",F145+$I$3)</f>
        <v/>
      </c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16" t="inlineStr">
        <is>
          <t>Rolled</t>
        </is>
      </c>
      <c r="B146" s="42" t="inlineStr"/>
      <c r="C146" s="14" t="n">
        <v>32</v>
      </c>
      <c r="D146" s="14" t="n">
        <v>65</v>
      </c>
      <c r="E146" s="43" t="inlineStr">
        <is>
          <t>32x65</t>
        </is>
      </c>
      <c r="F146" s="44" t="n"/>
      <c r="G146" s="44">
        <f>$I$3</f>
        <v/>
      </c>
      <c r="H146" s="45">
        <f>IF(F146="","",F146+$I$3)</f>
        <v/>
      </c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0" t="inlineStr">
        <is>
          <t>Rolled</t>
        </is>
      </c>
      <c r="B147" s="47" t="inlineStr"/>
      <c r="C147" s="18" t="n">
        <v>32</v>
      </c>
      <c r="D147" s="18" t="n">
        <v>75</v>
      </c>
      <c r="E147" s="48" t="inlineStr">
        <is>
          <t>32x75</t>
        </is>
      </c>
      <c r="F147" s="49" t="n"/>
      <c r="G147" s="49">
        <f>$I$3</f>
        <v/>
      </c>
      <c r="H147" s="50">
        <f>IF(F147="","",F147+$I$3)</f>
        <v/>
      </c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16" t="inlineStr">
        <is>
          <t>Rolled</t>
        </is>
      </c>
      <c r="B148" s="42" t="inlineStr"/>
      <c r="C148" s="14" t="n">
        <v>32</v>
      </c>
      <c r="D148" s="14" t="n">
        <v>100</v>
      </c>
      <c r="E148" s="43" t="inlineStr">
        <is>
          <t>32x100</t>
        </is>
      </c>
      <c r="F148" s="44" t="n"/>
      <c r="G148" s="44">
        <f>$I$3</f>
        <v/>
      </c>
      <c r="H148" s="45">
        <f>IF(F148="","",F148+$I$3)</f>
        <v/>
      </c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0" t="inlineStr">
        <is>
          <t>Rolled</t>
        </is>
      </c>
      <c r="B149" s="47" t="inlineStr"/>
      <c r="C149" s="18" t="n">
        <v>32</v>
      </c>
      <c r="D149" s="18" t="n">
        <v>125</v>
      </c>
      <c r="E149" s="48" t="inlineStr">
        <is>
          <t>32x125</t>
        </is>
      </c>
      <c r="F149" s="49" t="n"/>
      <c r="G149" s="49">
        <f>$I$3</f>
        <v/>
      </c>
      <c r="H149" s="50">
        <f>IF(F149="","",F149+$I$3)</f>
        <v/>
      </c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16" t="inlineStr">
        <is>
          <t>Rolled</t>
        </is>
      </c>
      <c r="B150" s="42" t="inlineStr"/>
      <c r="C150" s="14" t="n">
        <v>32</v>
      </c>
      <c r="D150" s="14" t="n">
        <v>155</v>
      </c>
      <c r="E150" s="43" t="inlineStr">
        <is>
          <t>32x155</t>
        </is>
      </c>
      <c r="F150" s="44" t="n"/>
      <c r="G150" s="44">
        <f>$I$3</f>
        <v/>
      </c>
      <c r="H150" s="45">
        <f>IF(F150="","",F150+$I$3)</f>
        <v/>
      </c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0" t="inlineStr">
        <is>
          <t>Rolled</t>
        </is>
      </c>
      <c r="B151" s="47" t="inlineStr"/>
      <c r="C151" s="18" t="n">
        <v>32</v>
      </c>
      <c r="D151" s="18" t="n">
        <v>200</v>
      </c>
      <c r="E151" s="48" t="inlineStr">
        <is>
          <t>32x200</t>
        </is>
      </c>
      <c r="F151" s="49" t="n"/>
      <c r="G151" s="49">
        <f>$I$3</f>
        <v/>
      </c>
      <c r="H151" s="50">
        <f>IF(F151="","",F151+$I$3)</f>
        <v/>
      </c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16" t="inlineStr">
        <is>
          <t>Rolled</t>
        </is>
      </c>
      <c r="B152" s="42" t="inlineStr"/>
      <c r="C152" s="14" t="n">
        <v>32</v>
      </c>
      <c r="D152" s="14" t="n">
        <v>250</v>
      </c>
      <c r="E152" s="43" t="inlineStr">
        <is>
          <t>32x250</t>
        </is>
      </c>
      <c r="F152" s="44" t="n"/>
      <c r="G152" s="44">
        <f>$I$3</f>
        <v/>
      </c>
      <c r="H152" s="45">
        <f>IF(F152="","",F152+$I$3)</f>
        <v/>
      </c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0" t="inlineStr">
        <is>
          <t>Rolled</t>
        </is>
      </c>
      <c r="B153" s="47" t="inlineStr"/>
      <c r="C153" s="18" t="n">
        <v>40</v>
      </c>
      <c r="D153" s="18" t="n">
        <v>50</v>
      </c>
      <c r="E153" s="48" t="inlineStr">
        <is>
          <t>40x50</t>
        </is>
      </c>
      <c r="F153" s="49" t="n"/>
      <c r="G153" s="49">
        <f>$I$3</f>
        <v/>
      </c>
      <c r="H153" s="50">
        <f>IF(F153="","",F153+$I$3)</f>
        <v/>
      </c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16" t="inlineStr">
        <is>
          <t>Rolled</t>
        </is>
      </c>
      <c r="B154" s="42" t="inlineStr"/>
      <c r="C154" s="14" t="n">
        <v>40</v>
      </c>
      <c r="D154" s="14" t="n">
        <v>65</v>
      </c>
      <c r="E154" s="43" t="inlineStr">
        <is>
          <t>40x65</t>
        </is>
      </c>
      <c r="F154" s="44" t="n"/>
      <c r="G154" s="44">
        <f>$I$3</f>
        <v/>
      </c>
      <c r="H154" s="45">
        <f>IF(F154="","",F154+$I$3)</f>
        <v/>
      </c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0" t="inlineStr">
        <is>
          <t>Rolled</t>
        </is>
      </c>
      <c r="B155" s="47" t="inlineStr"/>
      <c r="C155" s="18" t="n">
        <v>40</v>
      </c>
      <c r="D155" s="18" t="n">
        <v>75</v>
      </c>
      <c r="E155" s="48" t="inlineStr">
        <is>
          <t>40x75</t>
        </is>
      </c>
      <c r="F155" s="49" t="n"/>
      <c r="G155" s="49">
        <f>$I$3</f>
        <v/>
      </c>
      <c r="H155" s="50">
        <f>IF(F155="","",F155+$I$3)</f>
        <v/>
      </c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16" t="inlineStr">
        <is>
          <t>Rolled</t>
        </is>
      </c>
      <c r="B156" s="42" t="inlineStr"/>
      <c r="C156" s="14" t="n">
        <v>40</v>
      </c>
      <c r="D156" s="14" t="n">
        <v>100</v>
      </c>
      <c r="E156" s="43" t="inlineStr">
        <is>
          <t>40x100</t>
        </is>
      </c>
      <c r="F156" s="44" t="n"/>
      <c r="G156" s="44">
        <f>$I$3</f>
        <v/>
      </c>
      <c r="H156" s="45">
        <f>IF(F156="","",F156+$I$3)</f>
        <v/>
      </c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0" t="inlineStr">
        <is>
          <t>Rolled</t>
        </is>
      </c>
      <c r="B157" s="47" t="inlineStr"/>
      <c r="C157" s="18" t="n">
        <v>40</v>
      </c>
      <c r="D157" s="18" t="n">
        <v>125</v>
      </c>
      <c r="E157" s="48" t="inlineStr">
        <is>
          <t>40x125</t>
        </is>
      </c>
      <c r="F157" s="49" t="n"/>
      <c r="G157" s="49">
        <f>$I$3</f>
        <v/>
      </c>
      <c r="H157" s="50">
        <f>IF(F157="","",F157+$I$3)</f>
        <v/>
      </c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16" t="inlineStr">
        <is>
          <t>Rolled</t>
        </is>
      </c>
      <c r="B158" s="42" t="inlineStr"/>
      <c r="C158" s="14" t="n">
        <v>40</v>
      </c>
      <c r="D158" s="14" t="n">
        <v>155</v>
      </c>
      <c r="E158" s="43" t="inlineStr">
        <is>
          <t>40x155</t>
        </is>
      </c>
      <c r="F158" s="44" t="n"/>
      <c r="G158" s="44">
        <f>$I$3</f>
        <v/>
      </c>
      <c r="H158" s="45">
        <f>IF(F158="","",F158+$I$3)</f>
        <v/>
      </c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0" t="inlineStr">
        <is>
          <t>Rolled</t>
        </is>
      </c>
      <c r="B159" s="47" t="inlineStr"/>
      <c r="C159" s="18" t="n">
        <v>40</v>
      </c>
      <c r="D159" s="18" t="n">
        <v>200</v>
      </c>
      <c r="E159" s="48" t="inlineStr">
        <is>
          <t>40x200</t>
        </is>
      </c>
      <c r="F159" s="49" t="n"/>
      <c r="G159" s="49">
        <f>$I$3</f>
        <v/>
      </c>
      <c r="H159" s="50">
        <f>IF(F159="","",F159+$I$3)</f>
        <v/>
      </c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16" t="inlineStr">
        <is>
          <t>Rolled</t>
        </is>
      </c>
      <c r="B160" s="42" t="inlineStr"/>
      <c r="C160" s="14" t="n">
        <v>40</v>
      </c>
      <c r="D160" s="14" t="n">
        <v>250</v>
      </c>
      <c r="E160" s="43" t="inlineStr">
        <is>
          <t>40x250</t>
        </is>
      </c>
      <c r="F160" s="44" t="n"/>
      <c r="G160" s="44">
        <f>$I$3</f>
        <v/>
      </c>
      <c r="H160" s="45">
        <f>IF(F160="","",F160+$I$3)</f>
        <v/>
      </c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0" t="inlineStr">
        <is>
          <t>Rolled</t>
        </is>
      </c>
      <c r="B161" s="47" t="inlineStr"/>
      <c r="C161" s="18" t="n">
        <v>50</v>
      </c>
      <c r="D161" s="18" t="n">
        <v>65</v>
      </c>
      <c r="E161" s="48" t="inlineStr">
        <is>
          <t>50x65</t>
        </is>
      </c>
      <c r="F161" s="49" t="n"/>
      <c r="G161" s="49">
        <f>$I$3</f>
        <v/>
      </c>
      <c r="H161" s="50">
        <f>IF(F161="","",F161+$I$3)</f>
        <v/>
      </c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16" t="inlineStr">
        <is>
          <t>Rolled</t>
        </is>
      </c>
      <c r="B162" s="42" t="inlineStr"/>
      <c r="C162" s="14" t="n">
        <v>50</v>
      </c>
      <c r="D162" s="14" t="n">
        <v>75</v>
      </c>
      <c r="E162" s="43" t="inlineStr">
        <is>
          <t>50x75</t>
        </is>
      </c>
      <c r="F162" s="44" t="n"/>
      <c r="G162" s="44">
        <f>$I$3</f>
        <v/>
      </c>
      <c r="H162" s="45">
        <f>IF(F162="","",F162+$I$3)</f>
        <v/>
      </c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0" t="inlineStr">
        <is>
          <t>Rolled</t>
        </is>
      </c>
      <c r="B163" s="47" t="inlineStr"/>
      <c r="C163" s="18" t="n">
        <v>50</v>
      </c>
      <c r="D163" s="18" t="n">
        <v>100</v>
      </c>
      <c r="E163" s="48" t="inlineStr">
        <is>
          <t>50x100</t>
        </is>
      </c>
      <c r="F163" s="49" t="n"/>
      <c r="G163" s="49">
        <f>$I$3</f>
        <v/>
      </c>
      <c r="H163" s="50">
        <f>IF(F163="","",F163+$I$3)</f>
        <v/>
      </c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16" t="inlineStr">
        <is>
          <t>Rolled</t>
        </is>
      </c>
      <c r="B164" s="42" t="inlineStr"/>
      <c r="C164" s="14" t="n">
        <v>50</v>
      </c>
      <c r="D164" s="14" t="n">
        <v>125</v>
      </c>
      <c r="E164" s="43" t="inlineStr">
        <is>
          <t>50x125</t>
        </is>
      </c>
      <c r="F164" s="44" t="n"/>
      <c r="G164" s="44">
        <f>$I$3</f>
        <v/>
      </c>
      <c r="H164" s="45">
        <f>IF(F164="","",F164+$I$3)</f>
        <v/>
      </c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0" t="inlineStr">
        <is>
          <t>Rolled</t>
        </is>
      </c>
      <c r="B165" s="47" t="inlineStr"/>
      <c r="C165" s="18" t="n">
        <v>50</v>
      </c>
      <c r="D165" s="18" t="n">
        <v>155</v>
      </c>
      <c r="E165" s="48" t="inlineStr">
        <is>
          <t>50x155</t>
        </is>
      </c>
      <c r="F165" s="49" t="n"/>
      <c r="G165" s="49">
        <f>$I$3</f>
        <v/>
      </c>
      <c r="H165" s="50">
        <f>IF(F165="","",F165+$I$3)</f>
        <v/>
      </c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16" t="inlineStr">
        <is>
          <t>Rolled</t>
        </is>
      </c>
      <c r="B166" s="42" t="inlineStr"/>
      <c r="C166" s="14" t="n">
        <v>50</v>
      </c>
      <c r="D166" s="14" t="n">
        <v>200</v>
      </c>
      <c r="E166" s="43" t="inlineStr">
        <is>
          <t>50x200</t>
        </is>
      </c>
      <c r="F166" s="44" t="n"/>
      <c r="G166" s="44">
        <f>$I$3</f>
        <v/>
      </c>
      <c r="H166" s="45">
        <f>IF(F166="","",F166+$I$3)</f>
        <v/>
      </c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0" t="inlineStr">
        <is>
          <t>Rolled</t>
        </is>
      </c>
      <c r="B167" s="47" t="inlineStr"/>
      <c r="C167" s="18" t="n">
        <v>50</v>
      </c>
      <c r="D167" s="18" t="n">
        <v>250</v>
      </c>
      <c r="E167" s="48" t="inlineStr">
        <is>
          <t>50x250</t>
        </is>
      </c>
      <c r="F167" s="49" t="n"/>
      <c r="G167" s="49">
        <f>$I$3</f>
        <v/>
      </c>
      <c r="H167" s="50">
        <f>IF(F167="","",F167+$I$3)</f>
        <v/>
      </c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16" t="inlineStr"/>
      <c r="B168" s="42" t="inlineStr"/>
      <c r="C168" s="14">
        <f>IF($M$2&lt;&gt;"Flat Bar","",LET(k,IFERROR(INDEX(LET(cat,$E$94:$E$167,box,VSTACK($P$2,$L$7:$L$26),live,UNIQUE(FILTER(VSTACK(cat,box),VSTACK(cat,box)&lt;&gt;"")),FILTER(live,COUNTIF(cat,live)=0)),1),""),t,SUBSTITUTE(SUBSTITUTE(TRIM(k&amp;"")," ",""),"×","x"),IF(OR(k="",ISNUMBER(k)),"",IFERROR(VALUE(LEFT(t,FIND("x",t)-1)),""))))</f>
        <v/>
      </c>
      <c r="D168" s="14">
        <f>IF($M$2&lt;&gt;"Flat Bar","",LET(k,IFERROR(INDEX(LET(cat,$E$94:$E$167,box,VSTACK($P$2,$L$7:$L$26),live,UNIQUE(FILTER(VSTACK(cat,box),VSTACK(cat,box)&lt;&gt;"")),FILTER(live,COUNTIF(cat,live)=0)),1),""),t,SUBSTITUTE(SUBSTITUTE(TRIM(k&amp;"")," ",""),"×","x"),IF(OR(k="",ISNUMBER(k)),"",IFERROR(VALUE(MID(t,FIND("x",t)+1,32)),""))))</f>
        <v/>
      </c>
      <c r="E168" s="43">
        <f>IF($M$2&lt;&gt;"Flat Bar","",IFERROR(INDEX(LET(cat,$E$94:$E$167,box,VSTACK($P$2,$L$7:$L$26),live,UNIQUE(FILTER(VSTACK(cat,box),VSTACK(cat,box)&lt;&gt;"")),FILTER(live,COUNTIF(cat,live)=0)),1),""))</f>
        <v/>
      </c>
      <c r="F168" s="44" t="n"/>
      <c r="G168" s="44">
        <f>$I$3</f>
        <v/>
      </c>
      <c r="H168" s="45">
        <f>IF(F168="","",F168+$I$3)</f>
        <v/>
      </c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0" t="inlineStr"/>
      <c r="B169" s="47" t="inlineStr"/>
      <c r="C169" s="18">
        <f>IF($M$2&lt;&gt;"Flat Bar","",LET(k,IFERROR(INDEX(LET(cat,$E$94:$E$167,box,VSTACK($P$2,$L$7:$L$26),live,UNIQUE(FILTER(VSTACK(cat,box),VSTACK(cat,box)&lt;&gt;"")),FILTER(live,COUNTIF(cat,live)=0)),2),""),t,SUBSTITUTE(SUBSTITUTE(TRIM(k&amp;"")," ",""),"×","x"),IF(OR(k="",ISNUMBER(k)),"",IFERROR(VALUE(LEFT(t,FIND("x",t)-1)),""))))</f>
        <v/>
      </c>
      <c r="D169" s="18">
        <f>IF($M$2&lt;&gt;"Flat Bar","",LET(k,IFERROR(INDEX(LET(cat,$E$94:$E$167,box,VSTACK($P$2,$L$7:$L$26),live,UNIQUE(FILTER(VSTACK(cat,box),VSTACK(cat,box)&lt;&gt;"")),FILTER(live,COUNTIF(cat,live)=0)),2),""),t,SUBSTITUTE(SUBSTITUTE(TRIM(k&amp;"")," ",""),"×","x"),IF(OR(k="",ISNUMBER(k)),"",IFERROR(VALUE(MID(t,FIND("x",t)+1,32)),""))))</f>
        <v/>
      </c>
      <c r="E169" s="48">
        <f>IF($M$2&lt;&gt;"Flat Bar","",IFERROR(INDEX(LET(cat,$E$94:$E$167,box,VSTACK($P$2,$L$7:$L$26),live,UNIQUE(FILTER(VSTACK(cat,box),VSTACK(cat,box)&lt;&gt;"")),FILTER(live,COUNTIF(cat,live)=0)),2),""))</f>
        <v/>
      </c>
      <c r="F169" s="49" t="n"/>
      <c r="G169" s="49">
        <f>$I$3</f>
        <v/>
      </c>
      <c r="H169" s="50">
        <f>IF(F169="","",F169+$I$3)</f>
        <v/>
      </c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16" t="inlineStr"/>
      <c r="B170" s="42" t="inlineStr"/>
      <c r="C170" s="14">
        <f>IF($M$2&lt;&gt;"Flat Bar","",LET(k,IFERROR(INDEX(LET(cat,$E$94:$E$167,box,VSTACK($P$2,$L$7:$L$26),live,UNIQUE(FILTER(VSTACK(cat,box),VSTACK(cat,box)&lt;&gt;"")),FILTER(live,COUNTIF(cat,live)=0)),3),""),t,SUBSTITUTE(SUBSTITUTE(TRIM(k&amp;"")," ",""),"×","x"),IF(OR(k="",ISNUMBER(k)),"",IFERROR(VALUE(LEFT(t,FIND("x",t)-1)),""))))</f>
        <v/>
      </c>
      <c r="D170" s="14">
        <f>IF($M$2&lt;&gt;"Flat Bar","",LET(k,IFERROR(INDEX(LET(cat,$E$94:$E$167,box,VSTACK($P$2,$L$7:$L$26),live,UNIQUE(FILTER(VSTACK(cat,box),VSTACK(cat,box)&lt;&gt;"")),FILTER(live,COUNTIF(cat,live)=0)),3),""),t,SUBSTITUTE(SUBSTITUTE(TRIM(k&amp;"")," ",""),"×","x"),IF(OR(k="",ISNUMBER(k)),"",IFERROR(VALUE(MID(t,FIND("x",t)+1,32)),""))))</f>
        <v/>
      </c>
      <c r="E170" s="43">
        <f>IF($M$2&lt;&gt;"Flat Bar","",IFERROR(INDEX(LET(cat,$E$94:$E$167,box,VSTACK($P$2,$L$7:$L$26),live,UNIQUE(FILTER(VSTACK(cat,box),VSTACK(cat,box)&lt;&gt;"")),FILTER(live,COUNTIF(cat,live)=0)),3),""))</f>
        <v/>
      </c>
      <c r="F170" s="44" t="n"/>
      <c r="G170" s="44">
        <f>$I$3</f>
        <v/>
      </c>
      <c r="H170" s="45">
        <f>IF(F170="","",F170+$I$3)</f>
        <v/>
      </c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0" t="inlineStr"/>
      <c r="B171" s="47" t="inlineStr"/>
      <c r="C171" s="18">
        <f>IF($M$2&lt;&gt;"Flat Bar","",LET(k,IFERROR(INDEX(LET(cat,$E$94:$E$167,box,VSTACK($P$2,$L$7:$L$26),live,UNIQUE(FILTER(VSTACK(cat,box),VSTACK(cat,box)&lt;&gt;"")),FILTER(live,COUNTIF(cat,live)=0)),4),""),t,SUBSTITUTE(SUBSTITUTE(TRIM(k&amp;"")," ",""),"×","x"),IF(OR(k="",ISNUMBER(k)),"",IFERROR(VALUE(LEFT(t,FIND("x",t)-1)),""))))</f>
        <v/>
      </c>
      <c r="D171" s="18">
        <f>IF($M$2&lt;&gt;"Flat Bar","",LET(k,IFERROR(INDEX(LET(cat,$E$94:$E$167,box,VSTACK($P$2,$L$7:$L$26),live,UNIQUE(FILTER(VSTACK(cat,box),VSTACK(cat,box)&lt;&gt;"")),FILTER(live,COUNTIF(cat,live)=0)),4),""),t,SUBSTITUTE(SUBSTITUTE(TRIM(k&amp;"")," ",""),"×","x"),IF(OR(k="",ISNUMBER(k)),"",IFERROR(VALUE(MID(t,FIND("x",t)+1,32)),""))))</f>
        <v/>
      </c>
      <c r="E171" s="48">
        <f>IF($M$2&lt;&gt;"Flat Bar","",IFERROR(INDEX(LET(cat,$E$94:$E$167,box,VSTACK($P$2,$L$7:$L$26),live,UNIQUE(FILTER(VSTACK(cat,box),VSTACK(cat,box)&lt;&gt;"")),FILTER(live,COUNTIF(cat,live)=0)),4),""))</f>
        <v/>
      </c>
      <c r="F171" s="49" t="n"/>
      <c r="G171" s="49">
        <f>$I$3</f>
        <v/>
      </c>
      <c r="H171" s="50">
        <f>IF(F171="","",F171+$I$3)</f>
        <v/>
      </c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16" t="inlineStr"/>
      <c r="B172" s="42" t="inlineStr"/>
      <c r="C172" s="14">
        <f>IF($M$2&lt;&gt;"Flat Bar","",LET(k,IFERROR(INDEX(LET(cat,$E$94:$E$167,box,VSTACK($P$2,$L$7:$L$26),live,UNIQUE(FILTER(VSTACK(cat,box),VSTACK(cat,box)&lt;&gt;"")),FILTER(live,COUNTIF(cat,live)=0)),5),""),t,SUBSTITUTE(SUBSTITUTE(TRIM(k&amp;"")," ",""),"×","x"),IF(OR(k="",ISNUMBER(k)),"",IFERROR(VALUE(LEFT(t,FIND("x",t)-1)),""))))</f>
        <v/>
      </c>
      <c r="D172" s="14">
        <f>IF($M$2&lt;&gt;"Flat Bar","",LET(k,IFERROR(INDEX(LET(cat,$E$94:$E$167,box,VSTACK($P$2,$L$7:$L$26),live,UNIQUE(FILTER(VSTACK(cat,box),VSTACK(cat,box)&lt;&gt;"")),FILTER(live,COUNTIF(cat,live)=0)),5),""),t,SUBSTITUTE(SUBSTITUTE(TRIM(k&amp;"")," ",""),"×","x"),IF(OR(k="",ISNUMBER(k)),"",IFERROR(VALUE(MID(t,FIND("x",t)+1,32)),""))))</f>
        <v/>
      </c>
      <c r="E172" s="43">
        <f>IF($M$2&lt;&gt;"Flat Bar","",IFERROR(INDEX(LET(cat,$E$94:$E$167,box,VSTACK($P$2,$L$7:$L$26),live,UNIQUE(FILTER(VSTACK(cat,box),VSTACK(cat,box)&lt;&gt;"")),FILTER(live,COUNTIF(cat,live)=0)),5),""))</f>
        <v/>
      </c>
      <c r="F172" s="44" t="n"/>
      <c r="G172" s="44">
        <f>$I$3</f>
        <v/>
      </c>
      <c r="H172" s="45">
        <f>IF(F172="","",F172+$I$3)</f>
        <v/>
      </c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0" t="inlineStr"/>
      <c r="B173" s="47" t="inlineStr"/>
      <c r="C173" s="18">
        <f>IF($M$2&lt;&gt;"Flat Bar","",LET(k,IFERROR(INDEX(LET(cat,$E$94:$E$167,box,VSTACK($P$2,$L$7:$L$26),live,UNIQUE(FILTER(VSTACK(cat,box),VSTACK(cat,box)&lt;&gt;"")),FILTER(live,COUNTIF(cat,live)=0)),6),""),t,SUBSTITUTE(SUBSTITUTE(TRIM(k&amp;"")," ",""),"×","x"),IF(OR(k="",ISNUMBER(k)),"",IFERROR(VALUE(LEFT(t,FIND("x",t)-1)),""))))</f>
        <v/>
      </c>
      <c r="D173" s="18">
        <f>IF($M$2&lt;&gt;"Flat Bar","",LET(k,IFERROR(INDEX(LET(cat,$E$94:$E$167,box,VSTACK($P$2,$L$7:$L$26),live,UNIQUE(FILTER(VSTACK(cat,box),VSTACK(cat,box)&lt;&gt;"")),FILTER(live,COUNTIF(cat,live)=0)),6),""),t,SUBSTITUTE(SUBSTITUTE(TRIM(k&amp;"")," ",""),"×","x"),IF(OR(k="",ISNUMBER(k)),"",IFERROR(VALUE(MID(t,FIND("x",t)+1,32)),""))))</f>
        <v/>
      </c>
      <c r="E173" s="48">
        <f>IF($M$2&lt;&gt;"Flat Bar","",IFERROR(INDEX(LET(cat,$E$94:$E$167,box,VSTACK($P$2,$L$7:$L$26),live,UNIQUE(FILTER(VSTACK(cat,box),VSTACK(cat,box)&lt;&gt;"")),FILTER(live,COUNTIF(cat,live)=0)),6),""))</f>
        <v/>
      </c>
      <c r="F173" s="49" t="n"/>
      <c r="G173" s="49">
        <f>$I$3</f>
        <v/>
      </c>
      <c r="H173" s="50">
        <f>IF(F173="","",F173+$I$3)</f>
        <v/>
      </c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16" t="inlineStr"/>
      <c r="B174" s="42" t="inlineStr"/>
      <c r="C174" s="14">
        <f>IF($M$2&lt;&gt;"Flat Bar","",LET(k,IFERROR(INDEX(LET(cat,$E$94:$E$167,box,VSTACK($P$2,$L$7:$L$26),live,UNIQUE(FILTER(VSTACK(cat,box),VSTACK(cat,box)&lt;&gt;"")),FILTER(live,COUNTIF(cat,live)=0)),7),""),t,SUBSTITUTE(SUBSTITUTE(TRIM(k&amp;"")," ",""),"×","x"),IF(OR(k="",ISNUMBER(k)),"",IFERROR(VALUE(LEFT(t,FIND("x",t)-1)),""))))</f>
        <v/>
      </c>
      <c r="D174" s="14">
        <f>IF($M$2&lt;&gt;"Flat Bar","",LET(k,IFERROR(INDEX(LET(cat,$E$94:$E$167,box,VSTACK($P$2,$L$7:$L$26),live,UNIQUE(FILTER(VSTACK(cat,box),VSTACK(cat,box)&lt;&gt;"")),FILTER(live,COUNTIF(cat,live)=0)),7),""),t,SUBSTITUTE(SUBSTITUTE(TRIM(k&amp;"")," ",""),"×","x"),IF(OR(k="",ISNUMBER(k)),"",IFERROR(VALUE(MID(t,FIND("x",t)+1,32)),""))))</f>
        <v/>
      </c>
      <c r="E174" s="43">
        <f>IF($M$2&lt;&gt;"Flat Bar","",IFERROR(INDEX(LET(cat,$E$94:$E$167,box,VSTACK($P$2,$L$7:$L$26),live,UNIQUE(FILTER(VSTACK(cat,box),VSTACK(cat,box)&lt;&gt;"")),FILTER(live,COUNTIF(cat,live)=0)),7),""))</f>
        <v/>
      </c>
      <c r="F174" s="44" t="n"/>
      <c r="G174" s="44">
        <f>$I$3</f>
        <v/>
      </c>
      <c r="H174" s="45">
        <f>IF(F174="","",F174+$I$3)</f>
        <v/>
      </c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0" t="inlineStr"/>
      <c r="B175" s="47" t="inlineStr"/>
      <c r="C175" s="18">
        <f>IF($M$2&lt;&gt;"Flat Bar","",LET(k,IFERROR(INDEX(LET(cat,$E$94:$E$167,box,VSTACK($P$2,$L$7:$L$26),live,UNIQUE(FILTER(VSTACK(cat,box),VSTACK(cat,box)&lt;&gt;"")),FILTER(live,COUNTIF(cat,live)=0)),8),""),t,SUBSTITUTE(SUBSTITUTE(TRIM(k&amp;"")," ",""),"×","x"),IF(OR(k="",ISNUMBER(k)),"",IFERROR(VALUE(LEFT(t,FIND("x",t)-1)),""))))</f>
        <v/>
      </c>
      <c r="D175" s="18">
        <f>IF($M$2&lt;&gt;"Flat Bar","",LET(k,IFERROR(INDEX(LET(cat,$E$94:$E$167,box,VSTACK($P$2,$L$7:$L$26),live,UNIQUE(FILTER(VSTACK(cat,box),VSTACK(cat,box)&lt;&gt;"")),FILTER(live,COUNTIF(cat,live)=0)),8),""),t,SUBSTITUTE(SUBSTITUTE(TRIM(k&amp;"")," ",""),"×","x"),IF(OR(k="",ISNUMBER(k)),"",IFERROR(VALUE(MID(t,FIND("x",t)+1,32)),""))))</f>
        <v/>
      </c>
      <c r="E175" s="48">
        <f>IF($M$2&lt;&gt;"Flat Bar","",IFERROR(INDEX(LET(cat,$E$94:$E$167,box,VSTACK($P$2,$L$7:$L$26),live,UNIQUE(FILTER(VSTACK(cat,box),VSTACK(cat,box)&lt;&gt;"")),FILTER(live,COUNTIF(cat,live)=0)),8),""))</f>
        <v/>
      </c>
      <c r="F175" s="49" t="n"/>
      <c r="G175" s="49">
        <f>$I$3</f>
        <v/>
      </c>
      <c r="H175" s="50">
        <f>IF(F175="","",F175+$I$3)</f>
        <v/>
      </c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16" t="inlineStr"/>
      <c r="B176" s="42" t="inlineStr"/>
      <c r="C176" s="14">
        <f>IF($M$2&lt;&gt;"Flat Bar","",LET(k,IFERROR(INDEX(LET(cat,$E$94:$E$167,box,VSTACK($P$2,$L$7:$L$26),live,UNIQUE(FILTER(VSTACK(cat,box),VSTACK(cat,box)&lt;&gt;"")),FILTER(live,COUNTIF(cat,live)=0)),9),""),t,SUBSTITUTE(SUBSTITUTE(TRIM(k&amp;"")," ",""),"×","x"),IF(OR(k="",ISNUMBER(k)),"",IFERROR(VALUE(LEFT(t,FIND("x",t)-1)),""))))</f>
        <v/>
      </c>
      <c r="D176" s="14">
        <f>IF($M$2&lt;&gt;"Flat Bar","",LET(k,IFERROR(INDEX(LET(cat,$E$94:$E$167,box,VSTACK($P$2,$L$7:$L$26),live,UNIQUE(FILTER(VSTACK(cat,box),VSTACK(cat,box)&lt;&gt;"")),FILTER(live,COUNTIF(cat,live)=0)),9),""),t,SUBSTITUTE(SUBSTITUTE(TRIM(k&amp;"")," ",""),"×","x"),IF(OR(k="",ISNUMBER(k)),"",IFERROR(VALUE(MID(t,FIND("x",t)+1,32)),""))))</f>
        <v/>
      </c>
      <c r="E176" s="43">
        <f>IF($M$2&lt;&gt;"Flat Bar","",IFERROR(INDEX(LET(cat,$E$94:$E$167,box,VSTACK($P$2,$L$7:$L$26),live,UNIQUE(FILTER(VSTACK(cat,box),VSTACK(cat,box)&lt;&gt;"")),FILTER(live,COUNTIF(cat,live)=0)),9),""))</f>
        <v/>
      </c>
      <c r="F176" s="44" t="n"/>
      <c r="G176" s="44">
        <f>$I$3</f>
        <v/>
      </c>
      <c r="H176" s="45">
        <f>IF(F176="","",F176+$I$3)</f>
        <v/>
      </c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0" t="inlineStr"/>
      <c r="B177" s="47" t="inlineStr"/>
      <c r="C177" s="18">
        <f>IF($M$2&lt;&gt;"Flat Bar","",LET(k,IFERROR(INDEX(LET(cat,$E$94:$E$167,box,VSTACK($P$2,$L$7:$L$26),live,UNIQUE(FILTER(VSTACK(cat,box),VSTACK(cat,box)&lt;&gt;"")),FILTER(live,COUNTIF(cat,live)=0)),10),""),t,SUBSTITUTE(SUBSTITUTE(TRIM(k&amp;"")," ",""),"×","x"),IF(OR(k="",ISNUMBER(k)),"",IFERROR(VALUE(LEFT(t,FIND("x",t)-1)),""))))</f>
        <v/>
      </c>
      <c r="D177" s="18">
        <f>IF($M$2&lt;&gt;"Flat Bar","",LET(k,IFERROR(INDEX(LET(cat,$E$94:$E$167,box,VSTACK($P$2,$L$7:$L$26),live,UNIQUE(FILTER(VSTACK(cat,box),VSTACK(cat,box)&lt;&gt;"")),FILTER(live,COUNTIF(cat,live)=0)),10),""),t,SUBSTITUTE(SUBSTITUTE(TRIM(k&amp;"")," ",""),"×","x"),IF(OR(k="",ISNUMBER(k)),"",IFERROR(VALUE(MID(t,FIND("x",t)+1,32)),""))))</f>
        <v/>
      </c>
      <c r="E177" s="48">
        <f>IF($M$2&lt;&gt;"Flat Bar","",IFERROR(INDEX(LET(cat,$E$94:$E$167,box,VSTACK($P$2,$L$7:$L$26),live,UNIQUE(FILTER(VSTACK(cat,box),VSTACK(cat,box)&lt;&gt;"")),FILTER(live,COUNTIF(cat,live)=0)),10),""))</f>
        <v/>
      </c>
      <c r="F177" s="49" t="n"/>
      <c r="G177" s="49">
        <f>$I$3</f>
        <v/>
      </c>
      <c r="H177" s="50">
        <f>IF(F177="","",F177+$I$3)</f>
        <v/>
      </c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16" t="inlineStr"/>
      <c r="B178" s="42" t="inlineStr"/>
      <c r="C178" s="14">
        <f>IF($M$2&lt;&gt;"Flat Bar","",LET(k,IFERROR(INDEX(LET(cat,$E$94:$E$167,box,VSTACK($P$2,$L$7:$L$26),live,UNIQUE(FILTER(VSTACK(cat,box),VSTACK(cat,box)&lt;&gt;"")),FILTER(live,COUNTIF(cat,live)=0)),11),""),t,SUBSTITUTE(SUBSTITUTE(TRIM(k&amp;"")," ",""),"×","x"),IF(OR(k="",ISNUMBER(k)),"",IFERROR(VALUE(LEFT(t,FIND("x",t)-1)),""))))</f>
        <v/>
      </c>
      <c r="D178" s="14">
        <f>IF($M$2&lt;&gt;"Flat Bar","",LET(k,IFERROR(INDEX(LET(cat,$E$94:$E$167,box,VSTACK($P$2,$L$7:$L$26),live,UNIQUE(FILTER(VSTACK(cat,box),VSTACK(cat,box)&lt;&gt;"")),FILTER(live,COUNTIF(cat,live)=0)),11),""),t,SUBSTITUTE(SUBSTITUTE(TRIM(k&amp;"")," ",""),"×","x"),IF(OR(k="",ISNUMBER(k)),"",IFERROR(VALUE(MID(t,FIND("x",t)+1,32)),""))))</f>
        <v/>
      </c>
      <c r="E178" s="43">
        <f>IF($M$2&lt;&gt;"Flat Bar","",IFERROR(INDEX(LET(cat,$E$94:$E$167,box,VSTACK($P$2,$L$7:$L$26),live,UNIQUE(FILTER(VSTACK(cat,box),VSTACK(cat,box)&lt;&gt;"")),FILTER(live,COUNTIF(cat,live)=0)),11),""))</f>
        <v/>
      </c>
      <c r="F178" s="44" t="n"/>
      <c r="G178" s="44">
        <f>$I$3</f>
        <v/>
      </c>
      <c r="H178" s="45">
        <f>IF(F178="","",F178+$I$3)</f>
        <v/>
      </c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0" t="inlineStr"/>
      <c r="B179" s="47" t="inlineStr"/>
      <c r="C179" s="18">
        <f>IF($M$2&lt;&gt;"Flat Bar","",LET(k,IFERROR(INDEX(LET(cat,$E$94:$E$167,box,VSTACK($P$2,$L$7:$L$26),live,UNIQUE(FILTER(VSTACK(cat,box),VSTACK(cat,box)&lt;&gt;"")),FILTER(live,COUNTIF(cat,live)=0)),12),""),t,SUBSTITUTE(SUBSTITUTE(TRIM(k&amp;"")," ",""),"×","x"),IF(OR(k="",ISNUMBER(k)),"",IFERROR(VALUE(LEFT(t,FIND("x",t)-1)),""))))</f>
        <v/>
      </c>
      <c r="D179" s="18">
        <f>IF($M$2&lt;&gt;"Flat Bar","",LET(k,IFERROR(INDEX(LET(cat,$E$94:$E$167,box,VSTACK($P$2,$L$7:$L$26),live,UNIQUE(FILTER(VSTACK(cat,box),VSTACK(cat,box)&lt;&gt;"")),FILTER(live,COUNTIF(cat,live)=0)),12),""),t,SUBSTITUTE(SUBSTITUTE(TRIM(k&amp;"")," ",""),"×","x"),IF(OR(k="",ISNUMBER(k)),"",IFERROR(VALUE(MID(t,FIND("x",t)+1,32)),""))))</f>
        <v/>
      </c>
      <c r="E179" s="48">
        <f>IF($M$2&lt;&gt;"Flat Bar","",IFERROR(INDEX(LET(cat,$E$94:$E$167,box,VSTACK($P$2,$L$7:$L$26),live,UNIQUE(FILTER(VSTACK(cat,box),VSTACK(cat,box)&lt;&gt;"")),FILTER(live,COUNTIF(cat,live)=0)),12),""))</f>
        <v/>
      </c>
      <c r="F179" s="49" t="n"/>
      <c r="G179" s="49">
        <f>$I$3</f>
        <v/>
      </c>
      <c r="H179" s="50">
        <f>IF(F179="","",F179+$I$3)</f>
        <v/>
      </c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16" t="inlineStr"/>
      <c r="B180" s="42" t="inlineStr"/>
      <c r="C180" s="14">
        <f>IF($M$2&lt;&gt;"Flat Bar","",LET(k,IFERROR(INDEX(LET(cat,$E$94:$E$167,box,VSTACK($P$2,$L$7:$L$26),live,UNIQUE(FILTER(VSTACK(cat,box),VSTACK(cat,box)&lt;&gt;"")),FILTER(live,COUNTIF(cat,live)=0)),13),""),t,SUBSTITUTE(SUBSTITUTE(TRIM(k&amp;"")," ",""),"×","x"),IF(OR(k="",ISNUMBER(k)),"",IFERROR(VALUE(LEFT(t,FIND("x",t)-1)),""))))</f>
        <v/>
      </c>
      <c r="D180" s="14">
        <f>IF($M$2&lt;&gt;"Flat Bar","",LET(k,IFERROR(INDEX(LET(cat,$E$94:$E$167,box,VSTACK($P$2,$L$7:$L$26),live,UNIQUE(FILTER(VSTACK(cat,box),VSTACK(cat,box)&lt;&gt;"")),FILTER(live,COUNTIF(cat,live)=0)),13),""),t,SUBSTITUTE(SUBSTITUTE(TRIM(k&amp;"")," ",""),"×","x"),IF(OR(k="",ISNUMBER(k)),"",IFERROR(VALUE(MID(t,FIND("x",t)+1,32)),""))))</f>
        <v/>
      </c>
      <c r="E180" s="43">
        <f>IF($M$2&lt;&gt;"Flat Bar","",IFERROR(INDEX(LET(cat,$E$94:$E$167,box,VSTACK($P$2,$L$7:$L$26),live,UNIQUE(FILTER(VSTACK(cat,box),VSTACK(cat,box)&lt;&gt;"")),FILTER(live,COUNTIF(cat,live)=0)),13),""))</f>
        <v/>
      </c>
      <c r="F180" s="44" t="n"/>
      <c r="G180" s="44">
        <f>$I$3</f>
        <v/>
      </c>
      <c r="H180" s="45">
        <f>IF(F180="","",F180+$I$3)</f>
        <v/>
      </c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0" t="inlineStr"/>
      <c r="B181" s="47" t="inlineStr"/>
      <c r="C181" s="18">
        <f>IF($M$2&lt;&gt;"Flat Bar","",LET(k,IFERROR(INDEX(LET(cat,$E$94:$E$167,box,VSTACK($P$2,$L$7:$L$26),live,UNIQUE(FILTER(VSTACK(cat,box),VSTACK(cat,box)&lt;&gt;"")),FILTER(live,COUNTIF(cat,live)=0)),14),""),t,SUBSTITUTE(SUBSTITUTE(TRIM(k&amp;"")," ",""),"×","x"),IF(OR(k="",ISNUMBER(k)),"",IFERROR(VALUE(LEFT(t,FIND("x",t)-1)),""))))</f>
        <v/>
      </c>
      <c r="D181" s="18">
        <f>IF($M$2&lt;&gt;"Flat Bar","",LET(k,IFERROR(INDEX(LET(cat,$E$94:$E$167,box,VSTACK($P$2,$L$7:$L$26),live,UNIQUE(FILTER(VSTACK(cat,box),VSTACK(cat,box)&lt;&gt;"")),FILTER(live,COUNTIF(cat,live)=0)),14),""),t,SUBSTITUTE(SUBSTITUTE(TRIM(k&amp;"")," ",""),"×","x"),IF(OR(k="",ISNUMBER(k)),"",IFERROR(VALUE(MID(t,FIND("x",t)+1,32)),""))))</f>
        <v/>
      </c>
      <c r="E181" s="48">
        <f>IF($M$2&lt;&gt;"Flat Bar","",IFERROR(INDEX(LET(cat,$E$94:$E$167,box,VSTACK($P$2,$L$7:$L$26),live,UNIQUE(FILTER(VSTACK(cat,box),VSTACK(cat,box)&lt;&gt;"")),FILTER(live,COUNTIF(cat,live)=0)),14),""))</f>
        <v/>
      </c>
      <c r="F181" s="49" t="n"/>
      <c r="G181" s="49">
        <f>$I$3</f>
        <v/>
      </c>
      <c r="H181" s="50">
        <f>IF(F181="","",F181+$I$3)</f>
        <v/>
      </c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16" t="inlineStr"/>
      <c r="B182" s="42" t="inlineStr"/>
      <c r="C182" s="14">
        <f>IF($M$2&lt;&gt;"Flat Bar","",LET(k,IFERROR(INDEX(LET(cat,$E$94:$E$167,box,VSTACK($P$2,$L$7:$L$26),live,UNIQUE(FILTER(VSTACK(cat,box),VSTACK(cat,box)&lt;&gt;"")),FILTER(live,COUNTIF(cat,live)=0)),15),""),t,SUBSTITUTE(SUBSTITUTE(TRIM(k&amp;"")," ",""),"×","x"),IF(OR(k="",ISNUMBER(k)),"",IFERROR(VALUE(LEFT(t,FIND("x",t)-1)),""))))</f>
        <v/>
      </c>
      <c r="D182" s="14">
        <f>IF($M$2&lt;&gt;"Flat Bar","",LET(k,IFERROR(INDEX(LET(cat,$E$94:$E$167,box,VSTACK($P$2,$L$7:$L$26),live,UNIQUE(FILTER(VSTACK(cat,box),VSTACK(cat,box)&lt;&gt;"")),FILTER(live,COUNTIF(cat,live)=0)),15),""),t,SUBSTITUTE(SUBSTITUTE(TRIM(k&amp;"")," ",""),"×","x"),IF(OR(k="",ISNUMBER(k)),"",IFERROR(VALUE(MID(t,FIND("x",t)+1,32)),""))))</f>
        <v/>
      </c>
      <c r="E182" s="43">
        <f>IF($M$2&lt;&gt;"Flat Bar","",IFERROR(INDEX(LET(cat,$E$94:$E$167,box,VSTACK($P$2,$L$7:$L$26),live,UNIQUE(FILTER(VSTACK(cat,box),VSTACK(cat,box)&lt;&gt;"")),FILTER(live,COUNTIF(cat,live)=0)),15),""))</f>
        <v/>
      </c>
      <c r="F182" s="44" t="n"/>
      <c r="G182" s="44">
        <f>$I$3</f>
        <v/>
      </c>
      <c r="H182" s="45">
        <f>IF(F182="","",F182+$I$3)</f>
        <v/>
      </c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0" t="inlineStr"/>
      <c r="B183" s="47" t="inlineStr"/>
      <c r="C183" s="18">
        <f>IF($M$2&lt;&gt;"Flat Bar","",LET(k,IFERROR(INDEX(LET(cat,$E$94:$E$167,box,VSTACK($P$2,$L$7:$L$26),live,UNIQUE(FILTER(VSTACK(cat,box),VSTACK(cat,box)&lt;&gt;"")),FILTER(live,COUNTIF(cat,live)=0)),16),""),t,SUBSTITUTE(SUBSTITUTE(TRIM(k&amp;"")," ",""),"×","x"),IF(OR(k="",ISNUMBER(k)),"",IFERROR(VALUE(LEFT(t,FIND("x",t)-1)),""))))</f>
        <v/>
      </c>
      <c r="D183" s="18">
        <f>IF($M$2&lt;&gt;"Flat Bar","",LET(k,IFERROR(INDEX(LET(cat,$E$94:$E$167,box,VSTACK($P$2,$L$7:$L$26),live,UNIQUE(FILTER(VSTACK(cat,box),VSTACK(cat,box)&lt;&gt;"")),FILTER(live,COUNTIF(cat,live)=0)),16),""),t,SUBSTITUTE(SUBSTITUTE(TRIM(k&amp;"")," ",""),"×","x"),IF(OR(k="",ISNUMBER(k)),"",IFERROR(VALUE(MID(t,FIND("x",t)+1,32)),""))))</f>
        <v/>
      </c>
      <c r="E183" s="48">
        <f>IF($M$2&lt;&gt;"Flat Bar","",IFERROR(INDEX(LET(cat,$E$94:$E$167,box,VSTACK($P$2,$L$7:$L$26),live,UNIQUE(FILTER(VSTACK(cat,box),VSTACK(cat,box)&lt;&gt;"")),FILTER(live,COUNTIF(cat,live)=0)),16),""))</f>
        <v/>
      </c>
      <c r="F183" s="49" t="n"/>
      <c r="G183" s="49">
        <f>$I$3</f>
        <v/>
      </c>
      <c r="H183" s="50">
        <f>IF(F183="","",F183+$I$3)</f>
        <v/>
      </c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16" t="inlineStr"/>
      <c r="B184" s="42" t="inlineStr"/>
      <c r="C184" s="14">
        <f>IF($M$2&lt;&gt;"Flat Bar","",LET(k,IFERROR(INDEX(LET(cat,$E$94:$E$167,box,VSTACK($P$2,$L$7:$L$26),live,UNIQUE(FILTER(VSTACK(cat,box),VSTACK(cat,box)&lt;&gt;"")),FILTER(live,COUNTIF(cat,live)=0)),17),""),t,SUBSTITUTE(SUBSTITUTE(TRIM(k&amp;"")," ",""),"×","x"),IF(OR(k="",ISNUMBER(k)),"",IFERROR(VALUE(LEFT(t,FIND("x",t)-1)),""))))</f>
        <v/>
      </c>
      <c r="D184" s="14">
        <f>IF($M$2&lt;&gt;"Flat Bar","",LET(k,IFERROR(INDEX(LET(cat,$E$94:$E$167,box,VSTACK($P$2,$L$7:$L$26),live,UNIQUE(FILTER(VSTACK(cat,box),VSTACK(cat,box)&lt;&gt;"")),FILTER(live,COUNTIF(cat,live)=0)),17),""),t,SUBSTITUTE(SUBSTITUTE(TRIM(k&amp;"")," ",""),"×","x"),IF(OR(k="",ISNUMBER(k)),"",IFERROR(VALUE(MID(t,FIND("x",t)+1,32)),""))))</f>
        <v/>
      </c>
      <c r="E184" s="43">
        <f>IF($M$2&lt;&gt;"Flat Bar","",IFERROR(INDEX(LET(cat,$E$94:$E$167,box,VSTACK($P$2,$L$7:$L$26),live,UNIQUE(FILTER(VSTACK(cat,box),VSTACK(cat,box)&lt;&gt;"")),FILTER(live,COUNTIF(cat,live)=0)),17),""))</f>
        <v/>
      </c>
      <c r="F184" s="44" t="n"/>
      <c r="G184" s="44">
        <f>$I$3</f>
        <v/>
      </c>
      <c r="H184" s="45">
        <f>IF(F184="","",F184+$I$3)</f>
        <v/>
      </c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0" t="inlineStr"/>
      <c r="B185" s="47" t="inlineStr"/>
      <c r="C185" s="18">
        <f>IF($M$2&lt;&gt;"Flat Bar","",LET(k,IFERROR(INDEX(LET(cat,$E$94:$E$167,box,VSTACK($P$2,$L$7:$L$26),live,UNIQUE(FILTER(VSTACK(cat,box),VSTACK(cat,box)&lt;&gt;"")),FILTER(live,COUNTIF(cat,live)=0)),18),""),t,SUBSTITUTE(SUBSTITUTE(TRIM(k&amp;"")," ",""),"×","x"),IF(OR(k="",ISNUMBER(k)),"",IFERROR(VALUE(LEFT(t,FIND("x",t)-1)),""))))</f>
        <v/>
      </c>
      <c r="D185" s="18">
        <f>IF($M$2&lt;&gt;"Flat Bar","",LET(k,IFERROR(INDEX(LET(cat,$E$94:$E$167,box,VSTACK($P$2,$L$7:$L$26),live,UNIQUE(FILTER(VSTACK(cat,box),VSTACK(cat,box)&lt;&gt;"")),FILTER(live,COUNTIF(cat,live)=0)),18),""),t,SUBSTITUTE(SUBSTITUTE(TRIM(k&amp;"")," ",""),"×","x"),IF(OR(k="",ISNUMBER(k)),"",IFERROR(VALUE(MID(t,FIND("x",t)+1,32)),""))))</f>
        <v/>
      </c>
      <c r="E185" s="48">
        <f>IF($M$2&lt;&gt;"Flat Bar","",IFERROR(INDEX(LET(cat,$E$94:$E$167,box,VSTACK($P$2,$L$7:$L$26),live,UNIQUE(FILTER(VSTACK(cat,box),VSTACK(cat,box)&lt;&gt;"")),FILTER(live,COUNTIF(cat,live)=0)),18),""))</f>
        <v/>
      </c>
      <c r="F185" s="49" t="n"/>
      <c r="G185" s="49">
        <f>$I$3</f>
        <v/>
      </c>
      <c r="H185" s="50">
        <f>IF(F185="","",F185+$I$3)</f>
        <v/>
      </c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16" t="inlineStr"/>
      <c r="B186" s="42" t="inlineStr"/>
      <c r="C186" s="14">
        <f>IF($M$2&lt;&gt;"Flat Bar","",LET(k,IFERROR(INDEX(LET(cat,$E$94:$E$167,box,VSTACK($P$2,$L$7:$L$26),live,UNIQUE(FILTER(VSTACK(cat,box),VSTACK(cat,box)&lt;&gt;"")),FILTER(live,COUNTIF(cat,live)=0)),19),""),t,SUBSTITUTE(SUBSTITUTE(TRIM(k&amp;"")," ",""),"×","x"),IF(OR(k="",ISNUMBER(k)),"",IFERROR(VALUE(LEFT(t,FIND("x",t)-1)),""))))</f>
        <v/>
      </c>
      <c r="D186" s="14">
        <f>IF($M$2&lt;&gt;"Flat Bar","",LET(k,IFERROR(INDEX(LET(cat,$E$94:$E$167,box,VSTACK($P$2,$L$7:$L$26),live,UNIQUE(FILTER(VSTACK(cat,box),VSTACK(cat,box)&lt;&gt;"")),FILTER(live,COUNTIF(cat,live)=0)),19),""),t,SUBSTITUTE(SUBSTITUTE(TRIM(k&amp;"")," ",""),"×","x"),IF(OR(k="",ISNUMBER(k)),"",IFERROR(VALUE(MID(t,FIND("x",t)+1,32)),""))))</f>
        <v/>
      </c>
      <c r="E186" s="43">
        <f>IF($M$2&lt;&gt;"Flat Bar","",IFERROR(INDEX(LET(cat,$E$94:$E$167,box,VSTACK($P$2,$L$7:$L$26),live,UNIQUE(FILTER(VSTACK(cat,box),VSTACK(cat,box)&lt;&gt;"")),FILTER(live,COUNTIF(cat,live)=0)),19),""))</f>
        <v/>
      </c>
      <c r="F186" s="44" t="n"/>
      <c r="G186" s="44">
        <f>$I$3</f>
        <v/>
      </c>
      <c r="H186" s="45">
        <f>IF(F186="","",F186+$I$3)</f>
        <v/>
      </c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0" t="inlineStr"/>
      <c r="B187" s="47" t="inlineStr"/>
      <c r="C187" s="18">
        <f>IF($M$2&lt;&gt;"Flat Bar","",LET(k,IFERROR(INDEX(LET(cat,$E$94:$E$167,box,VSTACK($P$2,$L$7:$L$26),live,UNIQUE(FILTER(VSTACK(cat,box),VSTACK(cat,box)&lt;&gt;"")),FILTER(live,COUNTIF(cat,live)=0)),20),""),t,SUBSTITUTE(SUBSTITUTE(TRIM(k&amp;"")," ",""),"×","x"),IF(OR(k="",ISNUMBER(k)),"",IFERROR(VALUE(LEFT(t,FIND("x",t)-1)),""))))</f>
        <v/>
      </c>
      <c r="D187" s="18">
        <f>IF($M$2&lt;&gt;"Flat Bar","",LET(k,IFERROR(INDEX(LET(cat,$E$94:$E$167,box,VSTACK($P$2,$L$7:$L$26),live,UNIQUE(FILTER(VSTACK(cat,box),VSTACK(cat,box)&lt;&gt;"")),FILTER(live,COUNTIF(cat,live)=0)),20),""),t,SUBSTITUTE(SUBSTITUTE(TRIM(k&amp;"")," ",""),"×","x"),IF(OR(k="",ISNUMBER(k)),"",IFERROR(VALUE(MID(t,FIND("x",t)+1,32)),""))))</f>
        <v/>
      </c>
      <c r="E187" s="48">
        <f>IF($M$2&lt;&gt;"Flat Bar","",IFERROR(INDEX(LET(cat,$E$94:$E$167,box,VSTACK($P$2,$L$7:$L$26),live,UNIQUE(FILTER(VSTACK(cat,box),VSTACK(cat,box)&lt;&gt;"")),FILTER(live,COUNTIF(cat,live)=0)),20),""))</f>
        <v/>
      </c>
      <c r="F187" s="49" t="n"/>
      <c r="G187" s="49">
        <f>$I$3</f>
        <v/>
      </c>
      <c r="H187" s="50">
        <f>IF(F187="","",F187+$I$3)</f>
        <v/>
      </c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</sheetData>
  <mergeCells count="17">
    <mergeCell ref="H1:J1"/>
    <mergeCell ref="A92:H92"/>
    <mergeCell ref="N3:O3"/>
    <mergeCell ref="A1:G1"/>
    <mergeCell ref="A3:G3"/>
    <mergeCell ref="A6:G6"/>
    <mergeCell ref="A53:G53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8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EN-9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Bar",IF(OR(COUNTIF($C$8:$C$59,$P$2)&gt;0,COUNTIF($L$7:$L$26,$P$2)&gt;0),"Already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</t>
        </is>
      </c>
      <c r="B8" s="42" t="inlineStr"/>
      <c r="C8" s="43" t="n">
        <v>18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</t>
        </is>
      </c>
      <c r="B9" s="47" t="inlineStr"/>
      <c r="C9" s="48" t="n">
        <v>20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</t>
        </is>
      </c>
      <c r="B10" s="42" t="inlineStr"/>
      <c r="C10" s="43" t="n">
        <v>22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</t>
        </is>
      </c>
      <c r="B11" s="47" t="inlineStr"/>
      <c r="C11" s="48" t="n">
        <v>25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</t>
        </is>
      </c>
      <c r="B12" s="42" t="inlineStr"/>
      <c r="C12" s="43" t="n">
        <v>28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</t>
        </is>
      </c>
      <c r="B13" s="47" t="inlineStr"/>
      <c r="C13" s="48" t="n">
        <v>30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</t>
        </is>
      </c>
      <c r="B14" s="42" t="inlineStr"/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</t>
        </is>
      </c>
      <c r="B15" s="47" t="inlineStr"/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</t>
        </is>
      </c>
      <c r="B16" s="42" t="inlineStr"/>
      <c r="C16" s="43" t="n">
        <v>38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</t>
        </is>
      </c>
      <c r="B17" s="47" t="inlineStr"/>
      <c r="C17" s="48" t="n">
        <v>40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</t>
        </is>
      </c>
      <c r="B18" s="42" t="inlineStr"/>
      <c r="C18" s="43" t="n">
        <v>42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</t>
        </is>
      </c>
      <c r="B19" s="47" t="inlineStr"/>
      <c r="C19" s="48" t="n">
        <v>45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</t>
        </is>
      </c>
      <c r="B20" s="42" t="inlineStr"/>
      <c r="C20" s="43" t="n">
        <v>48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</t>
        </is>
      </c>
      <c r="B21" s="47" t="inlineStr"/>
      <c r="C21" s="48" t="n">
        <v>50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</t>
        </is>
      </c>
      <c r="B22" s="42" t="inlineStr"/>
      <c r="C22" s="43" t="n">
        <v>52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</t>
        </is>
      </c>
      <c r="B23" s="47" t="inlineStr"/>
      <c r="C23" s="48" t="n">
        <v>56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</t>
        </is>
      </c>
      <c r="B24" s="42" t="inlineStr"/>
      <c r="C24" s="43" t="n">
        <v>60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</t>
        </is>
      </c>
      <c r="B25" s="47" t="inlineStr"/>
      <c r="C25" s="48" t="n">
        <v>65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</t>
        </is>
      </c>
      <c r="B26" s="42" t="inlineStr"/>
      <c r="C26" s="43" t="n">
        <v>70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</t>
        </is>
      </c>
      <c r="B27" s="47" t="inlineStr"/>
      <c r="C27" s="48" t="n">
        <v>75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</t>
        </is>
      </c>
      <c r="B28" s="42" t="inlineStr"/>
      <c r="C28" s="43" t="n">
        <v>80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</t>
        </is>
      </c>
      <c r="B29" s="47" t="inlineStr"/>
      <c r="C29" s="48" t="n">
        <v>85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</t>
        </is>
      </c>
      <c r="B30" s="42" t="inlineStr"/>
      <c r="C30" s="43" t="n">
        <v>90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</t>
        </is>
      </c>
      <c r="B31" s="47" t="inlineStr"/>
      <c r="C31" s="48" t="n">
        <v>95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</t>
        </is>
      </c>
      <c r="B32" s="42" t="inlineStr"/>
      <c r="C32" s="43" t="n">
        <v>100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</t>
        </is>
      </c>
      <c r="B33" s="47" t="inlineStr"/>
      <c r="C33" s="48" t="n">
        <v>110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</t>
        </is>
      </c>
      <c r="B34" s="42" t="inlineStr"/>
      <c r="C34" s="43" t="n">
        <v>115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</t>
        </is>
      </c>
      <c r="B35" s="47" t="inlineStr"/>
      <c r="C35" s="48" t="n">
        <v>120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</t>
        </is>
      </c>
      <c r="B36" s="42" t="inlineStr"/>
      <c r="C36" s="43" t="n">
        <v>125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</t>
        </is>
      </c>
      <c r="B37" s="47" t="inlineStr"/>
      <c r="C37" s="48" t="n">
        <v>130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</t>
        </is>
      </c>
      <c r="B38" s="42" t="inlineStr"/>
      <c r="C38" s="43" t="n">
        <v>140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</t>
        </is>
      </c>
      <c r="B39" s="47" t="inlineStr"/>
      <c r="C39" s="48" t="n">
        <v>150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</t>
        </is>
      </c>
      <c r="B40" s="42" t="inlineStr"/>
      <c r="C40" s="43" t="n">
        <v>160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</t>
        </is>
      </c>
      <c r="B41" s="47" t="inlineStr"/>
      <c r="C41" s="48" t="n">
        <v>170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</t>
        </is>
      </c>
      <c r="B42" s="42" t="inlineStr"/>
      <c r="C42" s="43" t="n">
        <v>180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</t>
        </is>
      </c>
      <c r="B43" s="47" t="inlineStr"/>
      <c r="C43" s="48" t="n">
        <v>190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Rod</t>
        </is>
      </c>
      <c r="B44" s="42" t="inlineStr"/>
      <c r="C44" s="43" t="n">
        <v>200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Forging Rod</t>
        </is>
      </c>
      <c r="B45" s="47" t="inlineStr"/>
      <c r="C45" s="48" t="n">
        <v>310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Forging Rod</t>
        </is>
      </c>
      <c r="B46" s="42" t="inlineStr"/>
      <c r="C46" s="43" t="n">
        <v>320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Forging Rod</t>
        </is>
      </c>
      <c r="B47" s="47" t="inlineStr"/>
      <c r="C47" s="48" t="n">
        <v>330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Forging Rod</t>
        </is>
      </c>
      <c r="B48" s="42" t="inlineStr"/>
      <c r="C48" s="43" t="n">
        <v>340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Forging Rod</t>
        </is>
      </c>
      <c r="B49" s="47" t="inlineStr"/>
      <c r="C49" s="48" t="n">
        <v>350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Forging Rod</t>
        </is>
      </c>
      <c r="B50" s="42" t="inlineStr"/>
      <c r="C50" s="43" t="n">
        <v>360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Forging Rod</t>
        </is>
      </c>
      <c r="B51" s="47" t="inlineStr"/>
      <c r="C51" s="48" t="n">
        <v>370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Forging Rod</t>
        </is>
      </c>
      <c r="B52" s="42" t="inlineStr"/>
      <c r="C52" s="43" t="n">
        <v>380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Forging Rod</t>
        </is>
      </c>
      <c r="B53" s="47" t="inlineStr"/>
      <c r="C53" s="48" t="n">
        <v>390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Forging Rod</t>
        </is>
      </c>
      <c r="B54" s="42" t="inlineStr"/>
      <c r="C54" s="43" t="n">
        <v>400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Forging Rod</t>
        </is>
      </c>
      <c r="B55" s="47" t="inlineStr"/>
      <c r="C55" s="48" t="n">
        <v>410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Forging Rod</t>
        </is>
      </c>
      <c r="B56" s="42" t="inlineStr"/>
      <c r="C56" s="43" t="n">
        <v>420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Forging Rod</t>
        </is>
      </c>
      <c r="B57" s="47" t="inlineStr"/>
      <c r="C57" s="48" t="n">
        <v>430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Forging Rod</t>
        </is>
      </c>
      <c r="B58" s="42" t="inlineStr"/>
      <c r="C58" s="43" t="n">
        <v>440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Forging Rod</t>
        </is>
      </c>
      <c r="B59" s="47" t="inlineStr"/>
      <c r="C59" s="48" t="n">
        <v>450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/>
      <c r="B60" s="42" t="inlineStr"/>
      <c r="C60" s="43">
        <f>IF($M$2&lt;&gt;"Round Bar","",IFERROR(INDEX(LET(cat,$C$8:$C$59,box,VSTACK($P$2,$L$7:$L$26),live,UNIQUE(FILTER(VSTACK(cat,box),VSTACK(cat,box)&lt;&gt;"")),FILTER(live,COUNTIF(cat,live)=0)),1),""))</f>
        <v/>
      </c>
      <c r="D60" s="44" t="n"/>
      <c r="E60" s="44">
        <f>$I$3</f>
        <v/>
      </c>
      <c r="F60" s="45">
        <f>IF(D60="","",D60+$I$3)</f>
        <v/>
      </c>
      <c r="G60" s="46" t="inlineStr">
        <is>
          <t>New size from Add Size — type a base price; selling uses $I$3</t>
        </is>
      </c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/>
      <c r="B61" s="47" t="inlineStr"/>
      <c r="C61" s="48">
        <f>IF($M$2&lt;&gt;"Round Bar","",IFERROR(INDEX(LET(cat,$C$8:$C$59,box,VSTACK($P$2,$L$7:$L$26),live,UNIQUE(FILTER(VSTACK(cat,box),VSTACK(cat,box)&lt;&gt;"")),FILTER(live,COUNTIF(cat,live)=0)),2),""))</f>
        <v/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/>
      <c r="B62" s="42" t="inlineStr"/>
      <c r="C62" s="43">
        <f>IF($M$2&lt;&gt;"Round Bar","",IFERROR(INDEX(LET(cat,$C$8:$C$59,box,VSTACK($P$2,$L$7:$L$26),live,UNIQUE(FILTER(VSTACK(cat,box),VSTACK(cat,box)&lt;&gt;"")),FILTER(live,COUNTIF(cat,live)=0)),3),""))</f>
        <v/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/>
      <c r="B63" s="47" t="inlineStr"/>
      <c r="C63" s="48">
        <f>IF($M$2&lt;&gt;"Round Bar","",IFERROR(INDEX(LET(cat,$C$8:$C$59,box,VSTACK($P$2,$L$7:$L$26),live,UNIQUE(FILTER(VSTACK(cat,box),VSTACK(cat,box)&lt;&gt;"")),FILTER(live,COUNTIF(cat,live)=0)),4),""))</f>
        <v/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/>
      <c r="B64" s="42" t="inlineStr"/>
      <c r="C64" s="43">
        <f>IF($M$2&lt;&gt;"Round Bar","",IFERROR(INDEX(LET(cat,$C$8:$C$59,box,VSTACK($P$2,$L$7:$L$26),live,UNIQUE(FILTER(VSTACK(cat,box),VSTACK(cat,box)&lt;&gt;"")),FILTER(live,COUNTIF(cat,live)=0)),5),""))</f>
        <v/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/>
      <c r="B65" s="47" t="inlineStr"/>
      <c r="C65" s="48">
        <f>IF($M$2&lt;&gt;"Round Bar","",IFERROR(INDEX(LET(cat,$C$8:$C$59,box,VSTACK($P$2,$L$7:$L$26),live,UNIQUE(FILTER(VSTACK(cat,box),VSTACK(cat,box)&lt;&gt;"")),FILTER(live,COUNTIF(cat,live)=0)),6),""))</f>
        <v/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/>
      <c r="B66" s="42" t="inlineStr"/>
      <c r="C66" s="43">
        <f>IF($M$2&lt;&gt;"Round Bar","",IFERROR(INDEX(LET(cat,$C$8:$C$59,box,VSTACK($P$2,$L$7:$L$26),live,UNIQUE(FILTER(VSTACK(cat,box),VSTACK(cat,box)&lt;&gt;"")),FILTER(live,COUNTIF(cat,live)=0)),7),""))</f>
        <v/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/>
      <c r="B67" s="47" t="inlineStr"/>
      <c r="C67" s="48">
        <f>IF($M$2&lt;&gt;"Round Bar","",IFERROR(INDEX(LET(cat,$C$8:$C$59,box,VSTACK($P$2,$L$7:$L$26),live,UNIQUE(FILTER(VSTACK(cat,box),VSTACK(cat,box)&lt;&gt;"")),FILTER(live,COUNTIF(cat,live)=0)),8),""))</f>
        <v/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/>
      <c r="B68" s="42" t="inlineStr"/>
      <c r="C68" s="43">
        <f>IF($M$2&lt;&gt;"Round Bar","",IFERROR(INDEX(LET(cat,$C$8:$C$59,box,VSTACK($P$2,$L$7:$L$26),live,UNIQUE(FILTER(VSTACK(cat,box),VSTACK(cat,box)&lt;&gt;"")),FILTER(live,COUNTIF(cat,live)=0)),9),""))</f>
        <v/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Bar","",IFERROR(INDEX(LET(cat,$C$8:$C$59,box,VSTACK($P$2,$L$7:$L$26),live,UNIQUE(FILTER(VSTACK(cat,box),VSTACK(cat,box)&lt;&gt;"")),FILTER(live,COUNTIF(cat,live)=0)),10),""))</f>
        <v/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Bar","",IFERROR(INDEX(LET(cat,$C$8:$C$59,box,VSTACK($P$2,$L$7:$L$26),live,UNIQUE(FILTER(VSTACK(cat,box),VSTACK(cat,box)&lt;&gt;"")),FILTER(live,COUNTIF(cat,live)=0)),11),""))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Bar","",IFERROR(INDEX(LET(cat,$C$8:$C$59,box,VSTACK($P$2,$L$7:$L$26),live,UNIQUE(FILTER(VSTACK(cat,box),VSTACK(cat,box)&lt;&gt;"")),FILTER(live,COUNTIF(cat,live)=0)),12),""))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Bar","",IFERROR(INDEX(LET(cat,$C$8:$C$59,box,VSTACK($P$2,$L$7:$L$26),live,UNIQUE(FILTER(VSTACK(cat,box),VSTACK(cat,box)&lt;&gt;"")),FILTER(live,COUNTIF(cat,live)=0)),13),""))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Bar","",IFERROR(INDEX(LET(cat,$C$8:$C$59,box,VSTACK($P$2,$L$7:$L$26),live,UNIQUE(FILTER(VSTACK(cat,box),VSTACK(cat,box)&lt;&gt;"")),FILTER(live,COUNTIF(cat,live)=0)),14),""))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Bar","",IFERROR(INDEX(LET(cat,$C$8:$C$59,box,VSTACK($P$2,$L$7:$L$26),live,UNIQUE(FILTER(VSTACK(cat,box),VSTACK(cat,box)&lt;&gt;"")),FILTER(live,COUNTIF(cat,live)=0)),15),""))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Bar","",IFERROR(INDEX(LET(cat,$C$8:$C$59,box,VSTACK($P$2,$L$7:$L$26),live,UNIQUE(FILTER(VSTACK(cat,box),VSTACK(cat,box)&lt;&gt;"")),FILTER(live,COUNTIF(cat,live)=0)),16),""))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Bar","",IFERROR(INDEX(LET(cat,$C$8:$C$59,box,VSTACK($P$2,$L$7:$L$26),live,UNIQUE(FILTER(VSTACK(cat,box),VSTACK(cat,box)&lt;&gt;"")),FILTER(live,COUNTIF(cat,live)=0)),17),""))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Bar","",IFERROR(INDEX(LET(cat,$C$8:$C$59,box,VSTACK($P$2,$L$7:$L$26),live,UNIQUE(FILTER(VSTACK(cat,box),VSTACK(cat,box)&lt;&gt;"")),FILTER(live,COUNTIF(cat,live)=0)),18),""))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Bar","",IFERROR(INDEX(LET(cat,$C$8:$C$59,box,VSTACK($P$2,$L$7:$L$26),live,UNIQUE(FILTER(VSTACK(cat,box),VSTACK(cat,box)&lt;&gt;"")),FILTER(live,COUNTIF(cat,live)=0)),19),""))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Bar","",IFERROR(INDEX(LET(cat,$C$8:$C$59,box,VSTACK($P$2,$L$7:$L$26),live,UNIQUE(FILTER(VSTACK(cat,box),VSTACK(cat,box)&lt;&gt;"")),FILTER(live,COUNTIF(cat,live)=0)),20),""))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EN-19 (4140)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Bar",IF(OR(COUNTIF($C$8:$C$68,$P$2)&gt;0,COUNTIF($L$7:$L$26,$P$2)&gt;0),"Already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</t>
        </is>
      </c>
      <c r="B8" s="42" t="inlineStr">
        <is>
          <t>R.L Steel / Laxcon / LSR</t>
        </is>
      </c>
      <c r="C8" s="43" t="n">
        <v>16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</t>
        </is>
      </c>
      <c r="B9" s="47" t="inlineStr">
        <is>
          <t>R.L Steel / Laxcon / LSR</t>
        </is>
      </c>
      <c r="C9" s="48" t="n">
        <v>18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</t>
        </is>
      </c>
      <c r="B10" s="42" t="inlineStr">
        <is>
          <t>R.L Steel / Laxcon / LSR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</t>
        </is>
      </c>
      <c r="B11" s="47" t="inlineStr">
        <is>
          <t>R.L Steel / Laxcon / LSR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</t>
        </is>
      </c>
      <c r="B12" s="42" t="inlineStr">
        <is>
          <t>R.L Steel / Laxcon / LSR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</t>
        </is>
      </c>
      <c r="B13" s="47" t="inlineStr">
        <is>
          <t>R.L Steel / Laxcon / LSR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</t>
        </is>
      </c>
      <c r="B14" s="42" t="inlineStr">
        <is>
          <t>R.L Steel / Laxcon / LSR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</t>
        </is>
      </c>
      <c r="B15" s="47" t="inlineStr">
        <is>
          <t>R.L Steel / Laxcon / LSR</t>
        </is>
      </c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</t>
        </is>
      </c>
      <c r="B16" s="42" t="inlineStr">
        <is>
          <t>R.L Steel / Laxcon / LSR</t>
        </is>
      </c>
      <c r="C16" s="43" t="n">
        <v>40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</t>
        </is>
      </c>
      <c r="B17" s="47" t="inlineStr">
        <is>
          <t>R.L Steel / Laxcon / LSR</t>
        </is>
      </c>
      <c r="C17" s="48" t="n">
        <v>42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</t>
        </is>
      </c>
      <c r="B18" s="42" t="inlineStr">
        <is>
          <t>R.L Steel / Laxcon / LSR</t>
        </is>
      </c>
      <c r="C18" s="43" t="n">
        <v>45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</t>
        </is>
      </c>
      <c r="B19" s="47" t="inlineStr">
        <is>
          <t>R.L Steel / Laxcon / LSR</t>
        </is>
      </c>
      <c r="C19" s="48" t="n">
        <v>50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</t>
        </is>
      </c>
      <c r="B20" s="42" t="inlineStr">
        <is>
          <t>R.L Steel / Laxcon / LSR</t>
        </is>
      </c>
      <c r="C20" s="43" t="n">
        <v>53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</t>
        </is>
      </c>
      <c r="B21" s="47" t="inlineStr">
        <is>
          <t>R.L Steel / Laxcon / LSR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</t>
        </is>
      </c>
      <c r="B22" s="42" t="inlineStr">
        <is>
          <t>R.L Steel / Laxcon / LSR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</t>
        </is>
      </c>
      <c r="B23" s="47" t="inlineStr">
        <is>
          <t>R.L Steel / Laxcon / LSR</t>
        </is>
      </c>
      <c r="C23" s="48" t="n">
        <v>63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</t>
        </is>
      </c>
      <c r="B24" s="42" t="inlineStr">
        <is>
          <t>R.L Steel / Laxcon / LSR</t>
        </is>
      </c>
      <c r="C24" s="43" t="n">
        <v>65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</t>
        </is>
      </c>
      <c r="B25" s="47" t="inlineStr">
        <is>
          <t>R.L Steel / Laxcon / LSR</t>
        </is>
      </c>
      <c r="C25" s="48" t="n">
        <v>70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</t>
        </is>
      </c>
      <c r="B26" s="42" t="inlineStr">
        <is>
          <t>R.L Steel / Laxcon / LSR</t>
        </is>
      </c>
      <c r="C26" s="43" t="n">
        <v>80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</t>
        </is>
      </c>
      <c r="B27" s="47" t="inlineStr">
        <is>
          <t>R.L Steel / Laxcon / LSR</t>
        </is>
      </c>
      <c r="C27" s="48" t="n">
        <v>85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</t>
        </is>
      </c>
      <c r="B28" s="42" t="inlineStr">
        <is>
          <t>R.L Steel / Laxcon / LSR</t>
        </is>
      </c>
      <c r="C28" s="43" t="n">
        <v>90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</t>
        </is>
      </c>
      <c r="B29" s="47" t="inlineStr">
        <is>
          <t>R.L Steel / Laxcon / LSR</t>
        </is>
      </c>
      <c r="C29" s="48" t="n">
        <v>95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</t>
        </is>
      </c>
      <c r="B30" s="42" t="inlineStr">
        <is>
          <t>R.L Steel / Laxcon / LSR</t>
        </is>
      </c>
      <c r="C30" s="43" t="n">
        <v>100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</t>
        </is>
      </c>
      <c r="B31" s="47" t="inlineStr">
        <is>
          <t>R.L Steel / Laxcon / LSR</t>
        </is>
      </c>
      <c r="C31" s="48" t="n">
        <v>105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</t>
        </is>
      </c>
      <c r="B32" s="42" t="inlineStr">
        <is>
          <t>R.L Steel / Laxcon / LSR</t>
        </is>
      </c>
      <c r="C32" s="43" t="n">
        <v>110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</t>
        </is>
      </c>
      <c r="B33" s="47" t="inlineStr">
        <is>
          <t>R.L Steel / Laxcon / LSR</t>
        </is>
      </c>
      <c r="C33" s="48" t="n">
        <v>115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</t>
        </is>
      </c>
      <c r="B34" s="42" t="inlineStr">
        <is>
          <t>R.L Steel / Laxcon / LSR</t>
        </is>
      </c>
      <c r="C34" s="43" t="n">
        <v>120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</t>
        </is>
      </c>
      <c r="B35" s="47" t="inlineStr">
        <is>
          <t>R.L Steel / Laxcon / LSR</t>
        </is>
      </c>
      <c r="C35" s="48" t="n">
        <v>125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</t>
        </is>
      </c>
      <c r="B36" s="42" t="inlineStr">
        <is>
          <t>R.L Steel / Laxcon / LSR</t>
        </is>
      </c>
      <c r="C36" s="43" t="n">
        <v>130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</t>
        </is>
      </c>
      <c r="B37" s="47" t="inlineStr">
        <is>
          <t>R.L Steel / Laxcon / LSR</t>
        </is>
      </c>
      <c r="C37" s="48" t="n">
        <v>140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</t>
        </is>
      </c>
      <c r="B38" s="42" t="inlineStr">
        <is>
          <t>R.L Steel / Laxcon / LSR</t>
        </is>
      </c>
      <c r="C38" s="43" t="n">
        <v>150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</t>
        </is>
      </c>
      <c r="B39" s="47" t="inlineStr">
        <is>
          <t>R.L Steel / Laxcon / LSR</t>
        </is>
      </c>
      <c r="C39" s="48" t="n">
        <v>160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</t>
        </is>
      </c>
      <c r="B40" s="42" t="inlineStr">
        <is>
          <t>R.L Steel / Laxcon / LSR</t>
        </is>
      </c>
      <c r="C40" s="43" t="n">
        <v>170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</t>
        </is>
      </c>
      <c r="B41" s="47" t="inlineStr">
        <is>
          <t>R.L Steel / Laxcon / LSR</t>
        </is>
      </c>
      <c r="C41" s="48" t="n">
        <v>180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</t>
        </is>
      </c>
      <c r="B42" s="42" t="inlineStr">
        <is>
          <t>R.L Steel / Laxcon / LSR</t>
        </is>
      </c>
      <c r="C42" s="43" t="n">
        <v>190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</t>
        </is>
      </c>
      <c r="B43" s="47" t="inlineStr">
        <is>
          <t>R.L Steel / Laxcon / LSR</t>
        </is>
      </c>
      <c r="C43" s="48" t="n">
        <v>200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Imported / Forging Rod</t>
        </is>
      </c>
      <c r="B44" s="42" t="inlineStr">
        <is>
          <t>China / Forging</t>
        </is>
      </c>
      <c r="C44" s="43" t="n">
        <v>210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Imported / Forging Rod</t>
        </is>
      </c>
      <c r="B45" s="47" t="inlineStr">
        <is>
          <t>China / Forging</t>
        </is>
      </c>
      <c r="C45" s="48" t="n">
        <v>220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Imported / Forging Rod</t>
        </is>
      </c>
      <c r="B46" s="42" t="inlineStr">
        <is>
          <t>China / Forging</t>
        </is>
      </c>
      <c r="C46" s="43" t="n">
        <v>230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Imported / Forging Rod</t>
        </is>
      </c>
      <c r="B47" s="47" t="inlineStr">
        <is>
          <t>China / Forging</t>
        </is>
      </c>
      <c r="C47" s="48" t="n">
        <v>240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Imported / Forging Rod</t>
        </is>
      </c>
      <c r="B48" s="42" t="inlineStr">
        <is>
          <t>China / Forging</t>
        </is>
      </c>
      <c r="C48" s="43" t="n">
        <v>250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Imported / Forging Rod</t>
        </is>
      </c>
      <c r="B49" s="47" t="inlineStr">
        <is>
          <t>China / Forging</t>
        </is>
      </c>
      <c r="C49" s="48" t="n">
        <v>260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Imported / Forging Rod</t>
        </is>
      </c>
      <c r="B50" s="42" t="inlineStr">
        <is>
          <t>China / Forging</t>
        </is>
      </c>
      <c r="C50" s="43" t="n">
        <v>270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Imported / Forging Rod</t>
        </is>
      </c>
      <c r="B51" s="47" t="inlineStr">
        <is>
          <t>China / Forging</t>
        </is>
      </c>
      <c r="C51" s="48" t="n">
        <v>280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Imported / Forging Rod</t>
        </is>
      </c>
      <c r="B52" s="42" t="inlineStr">
        <is>
          <t>China / Forging</t>
        </is>
      </c>
      <c r="C52" s="43" t="n">
        <v>290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Imported / Forging Rod</t>
        </is>
      </c>
      <c r="B53" s="47" t="inlineStr">
        <is>
          <t>China / Forging</t>
        </is>
      </c>
      <c r="C53" s="48" t="n">
        <v>300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Imported / Forging Rod</t>
        </is>
      </c>
      <c r="B54" s="42" t="inlineStr">
        <is>
          <t>China / Forging</t>
        </is>
      </c>
      <c r="C54" s="43" t="n">
        <v>310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Imported / Forging Rod</t>
        </is>
      </c>
      <c r="B55" s="47" t="inlineStr">
        <is>
          <t>China / Forging</t>
        </is>
      </c>
      <c r="C55" s="48" t="n">
        <v>320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Imported / Forging Rod</t>
        </is>
      </c>
      <c r="B56" s="42" t="inlineStr">
        <is>
          <t>China / Forging</t>
        </is>
      </c>
      <c r="C56" s="43" t="n">
        <v>330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Imported / Forging Rod</t>
        </is>
      </c>
      <c r="B57" s="47" t="inlineStr">
        <is>
          <t>China / Forging</t>
        </is>
      </c>
      <c r="C57" s="48" t="n">
        <v>340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Imported / Forging Rod</t>
        </is>
      </c>
      <c r="B58" s="42" t="inlineStr">
        <is>
          <t>China / Forging</t>
        </is>
      </c>
      <c r="C58" s="43" t="n">
        <v>350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Imported / Forging Rod</t>
        </is>
      </c>
      <c r="B59" s="47" t="inlineStr">
        <is>
          <t>China / Forging</t>
        </is>
      </c>
      <c r="C59" s="48" t="n">
        <v>360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Imported / Forging Rod</t>
        </is>
      </c>
      <c r="B60" s="42" t="inlineStr">
        <is>
          <t>China / Forging</t>
        </is>
      </c>
      <c r="C60" s="43" t="n">
        <v>370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Imported / Forging Rod</t>
        </is>
      </c>
      <c r="B61" s="47" t="inlineStr">
        <is>
          <t>China / Forging</t>
        </is>
      </c>
      <c r="C61" s="48" t="n">
        <v>380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Imported / Forging Rod</t>
        </is>
      </c>
      <c r="B62" s="42" t="inlineStr">
        <is>
          <t>China / Forging</t>
        </is>
      </c>
      <c r="C62" s="43" t="n">
        <v>390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Imported / Forging Rod</t>
        </is>
      </c>
      <c r="B63" s="47" t="inlineStr">
        <is>
          <t>China / Forging</t>
        </is>
      </c>
      <c r="C63" s="48" t="n">
        <v>400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Imported / Forging Rod</t>
        </is>
      </c>
      <c r="B64" s="42" t="inlineStr">
        <is>
          <t>China / Forging</t>
        </is>
      </c>
      <c r="C64" s="43" t="n">
        <v>410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Imported / Forging Rod</t>
        </is>
      </c>
      <c r="B65" s="47" t="inlineStr">
        <is>
          <t>China / Forging</t>
        </is>
      </c>
      <c r="C65" s="48" t="n">
        <v>420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Imported / Forging Rod</t>
        </is>
      </c>
      <c r="B66" s="42" t="inlineStr">
        <is>
          <t>China / Forging</t>
        </is>
      </c>
      <c r="C66" s="43" t="n">
        <v>430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Imported / Forging Rod</t>
        </is>
      </c>
      <c r="B67" s="47" t="inlineStr">
        <is>
          <t>China / Forging</t>
        </is>
      </c>
      <c r="C67" s="48" t="n">
        <v>440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Imported / Forging Rod</t>
        </is>
      </c>
      <c r="B68" s="42" t="inlineStr">
        <is>
          <t>China / Forging</t>
        </is>
      </c>
      <c r="C68" s="43" t="n">
        <v>450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Bar","",IFERROR(INDEX(LET(cat,$C$8:$C$68,box,VSTACK($P$2,$L$7:$L$26),live,UNIQUE(FILTER(VSTACK(cat,box),VSTACK(cat,box)&lt;&gt;"")),FILTER(live,COUNTIF(cat,live)=0)),1),""))</f>
        <v/>
      </c>
      <c r="D69" s="49" t="n"/>
      <c r="E69" s="49">
        <f>$I$3</f>
        <v/>
      </c>
      <c r="F69" s="50">
        <f>IF(D69="","",D69+$I$3)</f>
        <v/>
      </c>
      <c r="G69" s="51" t="inlineStr">
        <is>
          <t>New size from Add Size — type a base price; selling uses $I$3</t>
        </is>
      </c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Bar","",IFERROR(INDEX(LET(cat,$C$8:$C$68,box,VSTACK($P$2,$L$7:$L$26),live,UNIQUE(FILTER(VSTACK(cat,box),VSTACK(cat,box)&lt;&gt;"")),FILTER(live,COUNTIF(cat,live)=0)),2),""))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Bar","",IFERROR(INDEX(LET(cat,$C$8:$C$68,box,VSTACK($P$2,$L$7:$L$26),live,UNIQUE(FILTER(VSTACK(cat,box),VSTACK(cat,box)&lt;&gt;"")),FILTER(live,COUNTIF(cat,live)=0)),3),""))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Bar","",IFERROR(INDEX(LET(cat,$C$8:$C$68,box,VSTACK($P$2,$L$7:$L$26),live,UNIQUE(FILTER(VSTACK(cat,box),VSTACK(cat,box)&lt;&gt;"")),FILTER(live,COUNTIF(cat,live)=0)),4),""))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Bar","",IFERROR(INDEX(LET(cat,$C$8:$C$68,box,VSTACK($P$2,$L$7:$L$26),live,UNIQUE(FILTER(VSTACK(cat,box),VSTACK(cat,box)&lt;&gt;"")),FILTER(live,COUNTIF(cat,live)=0)),5),""))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Bar","",IFERROR(INDEX(LET(cat,$C$8:$C$68,box,VSTACK($P$2,$L$7:$L$26),live,UNIQUE(FILTER(VSTACK(cat,box),VSTACK(cat,box)&lt;&gt;"")),FILTER(live,COUNTIF(cat,live)=0)),6),""))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Bar","",IFERROR(INDEX(LET(cat,$C$8:$C$68,box,VSTACK($P$2,$L$7:$L$26),live,UNIQUE(FILTER(VSTACK(cat,box),VSTACK(cat,box)&lt;&gt;"")),FILTER(live,COUNTIF(cat,live)=0)),7),""))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Bar","",IFERROR(INDEX(LET(cat,$C$8:$C$68,box,VSTACK($P$2,$L$7:$L$26),live,UNIQUE(FILTER(VSTACK(cat,box),VSTACK(cat,box)&lt;&gt;"")),FILTER(live,COUNTIF(cat,live)=0)),8),""))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Bar","",IFERROR(INDEX(LET(cat,$C$8:$C$68,box,VSTACK($P$2,$L$7:$L$26),live,UNIQUE(FILTER(VSTACK(cat,box),VSTACK(cat,box)&lt;&gt;"")),FILTER(live,COUNTIF(cat,live)=0)),9),""))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Bar","",IFERROR(INDEX(LET(cat,$C$8:$C$68,box,VSTACK($P$2,$L$7:$L$26),live,UNIQUE(FILTER(VSTACK(cat,box),VSTACK(cat,box)&lt;&gt;"")),FILTER(live,COUNTIF(cat,live)=0)),10),""))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Bar","",IFERROR(INDEX(LET(cat,$C$8:$C$68,box,VSTACK($P$2,$L$7:$L$26),live,UNIQUE(FILTER(VSTACK(cat,box),VSTACK(cat,box)&lt;&gt;"")),FILTER(live,COUNTIF(cat,live)=0)),11),""))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IF($M$2&lt;&gt;"Round Bar","",IFERROR(INDEX(LET(cat,$C$8:$C$68,box,VSTACK($P$2,$L$7:$L$26),live,UNIQUE(FILTER(VSTACK(cat,box),VSTACK(cat,box)&lt;&gt;"")),FILTER(live,COUNTIF(cat,live)=0)),12),""))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IF($M$2&lt;&gt;"Round Bar","",IFERROR(INDEX(LET(cat,$C$8:$C$68,box,VSTACK($P$2,$L$7:$L$26),live,UNIQUE(FILTER(VSTACK(cat,box),VSTACK(cat,box)&lt;&gt;"")),FILTER(live,COUNTIF(cat,live)=0)),13),""))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IF($M$2&lt;&gt;"Round Bar","",IFERROR(INDEX(LET(cat,$C$8:$C$68,box,VSTACK($P$2,$L$7:$L$26),live,UNIQUE(FILTER(VSTACK(cat,box),VSTACK(cat,box)&lt;&gt;"")),FILTER(live,COUNTIF(cat,live)=0)),14),""))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IF($M$2&lt;&gt;"Round Bar","",IFERROR(INDEX(LET(cat,$C$8:$C$68,box,VSTACK($P$2,$L$7:$L$26),live,UNIQUE(FILTER(VSTACK(cat,box),VSTACK(cat,box)&lt;&gt;"")),FILTER(live,COUNTIF(cat,live)=0)),15),""))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IF($M$2&lt;&gt;"Round Bar","",IFERROR(INDEX(LET(cat,$C$8:$C$68,box,VSTACK($P$2,$L$7:$L$26),live,UNIQUE(FILTER(VSTACK(cat,box),VSTACK(cat,box)&lt;&gt;"")),FILTER(live,COUNTIF(cat,live)=0)),16),""))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IF($M$2&lt;&gt;"Round Bar","",IFERROR(INDEX(LET(cat,$C$8:$C$68,box,VSTACK($P$2,$L$7:$L$26),live,UNIQUE(FILTER(VSTACK(cat,box),VSTACK(cat,box)&lt;&gt;"")),FILTER(live,COUNTIF(cat,live)=0)),17),""))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IF($M$2&lt;&gt;"Round Bar","",IFERROR(INDEX(LET(cat,$C$8:$C$68,box,VSTACK($P$2,$L$7:$L$26),live,UNIQUE(FILTER(VSTACK(cat,box),VSTACK(cat,box)&lt;&gt;"")),FILTER(live,COUNTIF(cat,live)=0)),18),""))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IF($M$2&lt;&gt;"Round Bar","",IFERROR(INDEX(LET(cat,$C$8:$C$68,box,VSTACK($P$2,$L$7:$L$26),live,UNIQUE(FILTER(VSTACK(cat,box),VSTACK(cat,box)&lt;&gt;"")),FILTER(live,COUNTIF(cat,live)=0)),19),""))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IF($M$2&lt;&gt;"Round Bar","",IFERROR(INDEX(LET(cat,$C$8:$C$68,box,VSTACK($P$2,$L$7:$L$26),live,UNIQUE(FILTER(VSTACK(cat,box),VSTACK(cat,box)&lt;&gt;"")),FILTER(live,COUNTIF(cat,live)=0)),20),""))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EN-24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Bar",IF(OR(COUNTIF($C$8:$C$68,$P$2)&gt;0,COUNTIF($L$7:$L$26,$P$2)&gt;0),"Already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</t>
        </is>
      </c>
      <c r="B8" s="42" t="inlineStr">
        <is>
          <t>R.L Steel / Laxcon / LSR</t>
        </is>
      </c>
      <c r="C8" s="43" t="n">
        <v>16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</t>
        </is>
      </c>
      <c r="B9" s="47" t="inlineStr">
        <is>
          <t>R.L Steel / Laxcon / LSR</t>
        </is>
      </c>
      <c r="C9" s="48" t="n">
        <v>18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</t>
        </is>
      </c>
      <c r="B10" s="42" t="inlineStr">
        <is>
          <t>R.L Steel / Laxcon / LSR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</t>
        </is>
      </c>
      <c r="B11" s="47" t="inlineStr">
        <is>
          <t>R.L Steel / Laxcon / LSR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</t>
        </is>
      </c>
      <c r="B12" s="42" t="inlineStr">
        <is>
          <t>R.L Steel / Laxcon / LSR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</t>
        </is>
      </c>
      <c r="B13" s="47" t="inlineStr">
        <is>
          <t>R.L Steel / Laxcon / LSR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</t>
        </is>
      </c>
      <c r="B14" s="42" t="inlineStr">
        <is>
          <t>R.L Steel / Laxcon / LSR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</t>
        </is>
      </c>
      <c r="B15" s="47" t="inlineStr">
        <is>
          <t>R.L Steel / Laxcon / LSR</t>
        </is>
      </c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</t>
        </is>
      </c>
      <c r="B16" s="42" t="inlineStr">
        <is>
          <t>R.L Steel / Laxcon / LSR</t>
        </is>
      </c>
      <c r="C16" s="43" t="n">
        <v>40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</t>
        </is>
      </c>
      <c r="B17" s="47" t="inlineStr">
        <is>
          <t>R.L Steel / Laxcon / LSR</t>
        </is>
      </c>
      <c r="C17" s="48" t="n">
        <v>42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</t>
        </is>
      </c>
      <c r="B18" s="42" t="inlineStr">
        <is>
          <t>R.L Steel / Laxcon / LSR</t>
        </is>
      </c>
      <c r="C18" s="43" t="n">
        <v>45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</t>
        </is>
      </c>
      <c r="B19" s="47" t="inlineStr">
        <is>
          <t>R.L Steel / Laxcon / LSR</t>
        </is>
      </c>
      <c r="C19" s="48" t="n">
        <v>50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</t>
        </is>
      </c>
      <c r="B20" s="42" t="inlineStr">
        <is>
          <t>R.L Steel / Laxcon / LSR</t>
        </is>
      </c>
      <c r="C20" s="43" t="n">
        <v>53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</t>
        </is>
      </c>
      <c r="B21" s="47" t="inlineStr">
        <is>
          <t>R.L Steel / Laxcon / LSR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</t>
        </is>
      </c>
      <c r="B22" s="42" t="inlineStr">
        <is>
          <t>R.L Steel / Laxcon / LSR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</t>
        </is>
      </c>
      <c r="B23" s="47" t="inlineStr">
        <is>
          <t>R.L Steel / Laxcon / LSR</t>
        </is>
      </c>
      <c r="C23" s="48" t="n">
        <v>63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</t>
        </is>
      </c>
      <c r="B24" s="42" t="inlineStr">
        <is>
          <t>R.L Steel / Laxcon / LSR</t>
        </is>
      </c>
      <c r="C24" s="43" t="n">
        <v>65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</t>
        </is>
      </c>
      <c r="B25" s="47" t="inlineStr">
        <is>
          <t>R.L Steel / Laxcon / LSR</t>
        </is>
      </c>
      <c r="C25" s="48" t="n">
        <v>70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</t>
        </is>
      </c>
      <c r="B26" s="42" t="inlineStr">
        <is>
          <t>R.L Steel / Laxcon / LSR</t>
        </is>
      </c>
      <c r="C26" s="43" t="n">
        <v>80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</t>
        </is>
      </c>
      <c r="B27" s="47" t="inlineStr">
        <is>
          <t>R.L Steel / Laxcon / LSR</t>
        </is>
      </c>
      <c r="C27" s="48" t="n">
        <v>85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</t>
        </is>
      </c>
      <c r="B28" s="42" t="inlineStr">
        <is>
          <t>R.L Steel / Laxcon / LSR</t>
        </is>
      </c>
      <c r="C28" s="43" t="n">
        <v>90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</t>
        </is>
      </c>
      <c r="B29" s="47" t="inlineStr">
        <is>
          <t>R.L Steel / Laxcon / LSR</t>
        </is>
      </c>
      <c r="C29" s="48" t="n">
        <v>95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</t>
        </is>
      </c>
      <c r="B30" s="42" t="inlineStr">
        <is>
          <t>R.L Steel / Laxcon / LSR</t>
        </is>
      </c>
      <c r="C30" s="43" t="n">
        <v>100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</t>
        </is>
      </c>
      <c r="B31" s="47" t="inlineStr">
        <is>
          <t>R.L Steel / Laxcon / LSR</t>
        </is>
      </c>
      <c r="C31" s="48" t="n">
        <v>105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</t>
        </is>
      </c>
      <c r="B32" s="42" t="inlineStr">
        <is>
          <t>R.L Steel / Laxcon / LSR</t>
        </is>
      </c>
      <c r="C32" s="43" t="n">
        <v>110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</t>
        </is>
      </c>
      <c r="B33" s="47" t="inlineStr">
        <is>
          <t>R.L Steel / Laxcon / LSR</t>
        </is>
      </c>
      <c r="C33" s="48" t="n">
        <v>115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</t>
        </is>
      </c>
      <c r="B34" s="42" t="inlineStr">
        <is>
          <t>R.L Steel / Laxcon / LSR</t>
        </is>
      </c>
      <c r="C34" s="43" t="n">
        <v>120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</t>
        </is>
      </c>
      <c r="B35" s="47" t="inlineStr">
        <is>
          <t>R.L Steel / Laxcon / LSR</t>
        </is>
      </c>
      <c r="C35" s="48" t="n">
        <v>125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</t>
        </is>
      </c>
      <c r="B36" s="42" t="inlineStr">
        <is>
          <t>R.L Steel / Laxcon / LSR</t>
        </is>
      </c>
      <c r="C36" s="43" t="n">
        <v>130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</t>
        </is>
      </c>
      <c r="B37" s="47" t="inlineStr">
        <is>
          <t>R.L Steel / Laxcon / LSR</t>
        </is>
      </c>
      <c r="C37" s="48" t="n">
        <v>140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</t>
        </is>
      </c>
      <c r="B38" s="42" t="inlineStr">
        <is>
          <t>R.L Steel / Laxcon / LSR</t>
        </is>
      </c>
      <c r="C38" s="43" t="n">
        <v>150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</t>
        </is>
      </c>
      <c r="B39" s="47" t="inlineStr">
        <is>
          <t>R.L Steel / Laxcon / LSR</t>
        </is>
      </c>
      <c r="C39" s="48" t="n">
        <v>160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</t>
        </is>
      </c>
      <c r="B40" s="42" t="inlineStr">
        <is>
          <t>R.L Steel / Laxcon / LSR</t>
        </is>
      </c>
      <c r="C40" s="43" t="n">
        <v>170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</t>
        </is>
      </c>
      <c r="B41" s="47" t="inlineStr">
        <is>
          <t>R.L Steel / Laxcon / LSR</t>
        </is>
      </c>
      <c r="C41" s="48" t="n">
        <v>180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</t>
        </is>
      </c>
      <c r="B42" s="42" t="inlineStr">
        <is>
          <t>R.L Steel / Laxcon / LSR</t>
        </is>
      </c>
      <c r="C42" s="43" t="n">
        <v>190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</t>
        </is>
      </c>
      <c r="B43" s="47" t="inlineStr">
        <is>
          <t>R.L Steel / Laxcon / LSR</t>
        </is>
      </c>
      <c r="C43" s="48" t="n">
        <v>200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Forging Rod</t>
        </is>
      </c>
      <c r="B44" s="42" t="inlineStr"/>
      <c r="C44" s="43" t="n">
        <v>210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Forging Rod</t>
        </is>
      </c>
      <c r="B45" s="47" t="inlineStr"/>
      <c r="C45" s="48" t="n">
        <v>220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Forging Rod</t>
        </is>
      </c>
      <c r="B46" s="42" t="inlineStr"/>
      <c r="C46" s="43" t="n">
        <v>230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Forging Rod</t>
        </is>
      </c>
      <c r="B47" s="47" t="inlineStr"/>
      <c r="C47" s="48" t="n">
        <v>240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Forging Rod</t>
        </is>
      </c>
      <c r="B48" s="42" t="inlineStr"/>
      <c r="C48" s="43" t="n">
        <v>250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Forging Rod</t>
        </is>
      </c>
      <c r="B49" s="47" t="inlineStr"/>
      <c r="C49" s="48" t="n">
        <v>260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Forging Rod</t>
        </is>
      </c>
      <c r="B50" s="42" t="inlineStr"/>
      <c r="C50" s="43" t="n">
        <v>270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Forging Rod</t>
        </is>
      </c>
      <c r="B51" s="47" t="inlineStr"/>
      <c r="C51" s="48" t="n">
        <v>280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Forging Rod</t>
        </is>
      </c>
      <c r="B52" s="42" t="inlineStr"/>
      <c r="C52" s="43" t="n">
        <v>290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Forging Rod</t>
        </is>
      </c>
      <c r="B53" s="47" t="inlineStr"/>
      <c r="C53" s="48" t="n">
        <v>300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Forging Rod</t>
        </is>
      </c>
      <c r="B54" s="42" t="inlineStr"/>
      <c r="C54" s="43" t="n">
        <v>310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Forging Rod</t>
        </is>
      </c>
      <c r="B55" s="47" t="inlineStr"/>
      <c r="C55" s="48" t="n">
        <v>320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Forging Rod</t>
        </is>
      </c>
      <c r="B56" s="42" t="inlineStr"/>
      <c r="C56" s="43" t="n">
        <v>330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Forging Rod</t>
        </is>
      </c>
      <c r="B57" s="47" t="inlineStr"/>
      <c r="C57" s="48" t="n">
        <v>340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Forging Rod</t>
        </is>
      </c>
      <c r="B58" s="42" t="inlineStr"/>
      <c r="C58" s="43" t="n">
        <v>350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Forging Rod</t>
        </is>
      </c>
      <c r="B59" s="47" t="inlineStr"/>
      <c r="C59" s="48" t="n">
        <v>360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Forging Rod</t>
        </is>
      </c>
      <c r="B60" s="42" t="inlineStr"/>
      <c r="C60" s="43" t="n">
        <v>370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Forging Rod</t>
        </is>
      </c>
      <c r="B61" s="47" t="inlineStr"/>
      <c r="C61" s="48" t="n">
        <v>380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Forging Rod</t>
        </is>
      </c>
      <c r="B62" s="42" t="inlineStr"/>
      <c r="C62" s="43" t="n">
        <v>390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Forging Rod</t>
        </is>
      </c>
      <c r="B63" s="47" t="inlineStr"/>
      <c r="C63" s="48" t="n">
        <v>400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Forging Rod</t>
        </is>
      </c>
      <c r="B64" s="42" t="inlineStr"/>
      <c r="C64" s="43" t="n">
        <v>410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Forging Rod</t>
        </is>
      </c>
      <c r="B65" s="47" t="inlineStr"/>
      <c r="C65" s="48" t="n">
        <v>420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Forging Rod</t>
        </is>
      </c>
      <c r="B66" s="42" t="inlineStr"/>
      <c r="C66" s="43" t="n">
        <v>430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Forging Rod</t>
        </is>
      </c>
      <c r="B67" s="47" t="inlineStr"/>
      <c r="C67" s="48" t="n">
        <v>440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Forging Rod</t>
        </is>
      </c>
      <c r="B68" s="42" t="inlineStr"/>
      <c r="C68" s="43" t="n">
        <v>450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Bar","",IFERROR(INDEX(LET(cat,$C$8:$C$68,box,VSTACK($P$2,$L$7:$L$26),live,UNIQUE(FILTER(VSTACK(cat,box),VSTACK(cat,box)&lt;&gt;"")),FILTER(live,COUNTIF(cat,live)=0)),1),""))</f>
        <v/>
      </c>
      <c r="D69" s="49" t="n"/>
      <c r="E69" s="49">
        <f>$I$3</f>
        <v/>
      </c>
      <c r="F69" s="50">
        <f>IF(D69="","",D69+$I$3)</f>
        <v/>
      </c>
      <c r="G69" s="51" t="inlineStr">
        <is>
          <t>New size from Add Size — type a base price; selling uses $I$3</t>
        </is>
      </c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Bar","",IFERROR(INDEX(LET(cat,$C$8:$C$68,box,VSTACK($P$2,$L$7:$L$26),live,UNIQUE(FILTER(VSTACK(cat,box),VSTACK(cat,box)&lt;&gt;"")),FILTER(live,COUNTIF(cat,live)=0)),2),""))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Bar","",IFERROR(INDEX(LET(cat,$C$8:$C$68,box,VSTACK($P$2,$L$7:$L$26),live,UNIQUE(FILTER(VSTACK(cat,box),VSTACK(cat,box)&lt;&gt;"")),FILTER(live,COUNTIF(cat,live)=0)),3),""))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Bar","",IFERROR(INDEX(LET(cat,$C$8:$C$68,box,VSTACK($P$2,$L$7:$L$26),live,UNIQUE(FILTER(VSTACK(cat,box),VSTACK(cat,box)&lt;&gt;"")),FILTER(live,COUNTIF(cat,live)=0)),4),""))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Bar","",IFERROR(INDEX(LET(cat,$C$8:$C$68,box,VSTACK($P$2,$L$7:$L$26),live,UNIQUE(FILTER(VSTACK(cat,box),VSTACK(cat,box)&lt;&gt;"")),FILTER(live,COUNTIF(cat,live)=0)),5),""))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Bar","",IFERROR(INDEX(LET(cat,$C$8:$C$68,box,VSTACK($P$2,$L$7:$L$26),live,UNIQUE(FILTER(VSTACK(cat,box),VSTACK(cat,box)&lt;&gt;"")),FILTER(live,COUNTIF(cat,live)=0)),6),""))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Bar","",IFERROR(INDEX(LET(cat,$C$8:$C$68,box,VSTACK($P$2,$L$7:$L$26),live,UNIQUE(FILTER(VSTACK(cat,box),VSTACK(cat,box)&lt;&gt;"")),FILTER(live,COUNTIF(cat,live)=0)),7),""))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Bar","",IFERROR(INDEX(LET(cat,$C$8:$C$68,box,VSTACK($P$2,$L$7:$L$26),live,UNIQUE(FILTER(VSTACK(cat,box),VSTACK(cat,box)&lt;&gt;"")),FILTER(live,COUNTIF(cat,live)=0)),8),""))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Bar","",IFERROR(INDEX(LET(cat,$C$8:$C$68,box,VSTACK($P$2,$L$7:$L$26),live,UNIQUE(FILTER(VSTACK(cat,box),VSTACK(cat,box)&lt;&gt;"")),FILTER(live,COUNTIF(cat,live)=0)),9),""))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Bar","",IFERROR(INDEX(LET(cat,$C$8:$C$68,box,VSTACK($P$2,$L$7:$L$26),live,UNIQUE(FILTER(VSTACK(cat,box),VSTACK(cat,box)&lt;&gt;"")),FILTER(live,COUNTIF(cat,live)=0)),10),""))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Bar","",IFERROR(INDEX(LET(cat,$C$8:$C$68,box,VSTACK($P$2,$L$7:$L$26),live,UNIQUE(FILTER(VSTACK(cat,box),VSTACK(cat,box)&lt;&gt;"")),FILTER(live,COUNTIF(cat,live)=0)),11),""))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IF($M$2&lt;&gt;"Round Bar","",IFERROR(INDEX(LET(cat,$C$8:$C$68,box,VSTACK($P$2,$L$7:$L$26),live,UNIQUE(FILTER(VSTACK(cat,box),VSTACK(cat,box)&lt;&gt;"")),FILTER(live,COUNTIF(cat,live)=0)),12),""))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IF($M$2&lt;&gt;"Round Bar","",IFERROR(INDEX(LET(cat,$C$8:$C$68,box,VSTACK($P$2,$L$7:$L$26),live,UNIQUE(FILTER(VSTACK(cat,box),VSTACK(cat,box)&lt;&gt;"")),FILTER(live,COUNTIF(cat,live)=0)),13),""))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IF($M$2&lt;&gt;"Round Bar","",IFERROR(INDEX(LET(cat,$C$8:$C$68,box,VSTACK($P$2,$L$7:$L$26),live,UNIQUE(FILTER(VSTACK(cat,box),VSTACK(cat,box)&lt;&gt;"")),FILTER(live,COUNTIF(cat,live)=0)),14),""))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IF($M$2&lt;&gt;"Round Bar","",IFERROR(INDEX(LET(cat,$C$8:$C$68,box,VSTACK($P$2,$L$7:$L$26),live,UNIQUE(FILTER(VSTACK(cat,box),VSTACK(cat,box)&lt;&gt;"")),FILTER(live,COUNTIF(cat,live)=0)),15),""))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IF($M$2&lt;&gt;"Round Bar","",IFERROR(INDEX(LET(cat,$C$8:$C$68,box,VSTACK($P$2,$L$7:$L$26),live,UNIQUE(FILTER(VSTACK(cat,box),VSTACK(cat,box)&lt;&gt;"")),FILTER(live,COUNTIF(cat,live)=0)),16),""))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IF($M$2&lt;&gt;"Round Bar","",IFERROR(INDEX(LET(cat,$C$8:$C$68,box,VSTACK($P$2,$L$7:$L$26),live,UNIQUE(FILTER(VSTACK(cat,box),VSTACK(cat,box)&lt;&gt;"")),FILTER(live,COUNTIF(cat,live)=0)),17),""))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IF($M$2&lt;&gt;"Round Bar","",IFERROR(INDEX(LET(cat,$C$8:$C$68,box,VSTACK($P$2,$L$7:$L$26),live,UNIQUE(FILTER(VSTACK(cat,box),VSTACK(cat,box)&lt;&gt;"")),FILTER(live,COUNTIF(cat,live)=0)),18),""))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IF($M$2&lt;&gt;"Round Bar","",IFERROR(INDEX(LET(cat,$C$8:$C$68,box,VSTACK($P$2,$L$7:$L$26),live,UNIQUE(FILTER(VSTACK(cat,box),VSTACK(cat,box)&lt;&gt;"")),FILTER(live,COUNTIF(cat,live)=0)),19),""))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IF($M$2&lt;&gt;"Round Bar","",IFERROR(INDEX(LET(cat,$C$8:$C$68,box,VSTACK($P$2,$L$7:$L$26),live,UNIQUE(FILTER(VSTACK(cat,box),VSTACK(cat,box)&lt;&gt;"")),FILTER(live,COUNTIF(cat,live)=0)),20),""))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20MnCr5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Bar",IF(OR(COUNTIF($C$8:$C$68,$P$2)&gt;0,COUNTIF($L$7:$L$26,$P$2)&gt;0),"Already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</t>
        </is>
      </c>
      <c r="B8" s="42" t="inlineStr">
        <is>
          <t>R.L Steel / Laxcon / LSR</t>
        </is>
      </c>
      <c r="C8" s="43" t="n">
        <v>16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</t>
        </is>
      </c>
      <c r="B9" s="47" t="inlineStr">
        <is>
          <t>R.L Steel / Laxcon / LSR</t>
        </is>
      </c>
      <c r="C9" s="48" t="n">
        <v>18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</t>
        </is>
      </c>
      <c r="B10" s="42" t="inlineStr">
        <is>
          <t>R.L Steel / Laxcon / LSR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</t>
        </is>
      </c>
      <c r="B11" s="47" t="inlineStr">
        <is>
          <t>R.L Steel / Laxcon / LSR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</t>
        </is>
      </c>
      <c r="B12" s="42" t="inlineStr">
        <is>
          <t>R.L Steel / Laxcon / LSR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</t>
        </is>
      </c>
      <c r="B13" s="47" t="inlineStr">
        <is>
          <t>R.L Steel / Laxcon / LSR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</t>
        </is>
      </c>
      <c r="B14" s="42" t="inlineStr">
        <is>
          <t>R.L Steel / Laxcon / LSR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</t>
        </is>
      </c>
      <c r="B15" s="47" t="inlineStr">
        <is>
          <t>R.L Steel / Laxcon / LSR</t>
        </is>
      </c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</t>
        </is>
      </c>
      <c r="B16" s="42" t="inlineStr">
        <is>
          <t>R.L Steel / Laxcon / LSR</t>
        </is>
      </c>
      <c r="C16" s="43" t="n">
        <v>40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</t>
        </is>
      </c>
      <c r="B17" s="47" t="inlineStr">
        <is>
          <t>R.L Steel / Laxcon / LSR</t>
        </is>
      </c>
      <c r="C17" s="48" t="n">
        <v>42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</t>
        </is>
      </c>
      <c r="B18" s="42" t="inlineStr">
        <is>
          <t>R.L Steel / Laxcon / LSR</t>
        </is>
      </c>
      <c r="C18" s="43" t="n">
        <v>45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</t>
        </is>
      </c>
      <c r="B19" s="47" t="inlineStr">
        <is>
          <t>R.L Steel / Laxcon / LSR</t>
        </is>
      </c>
      <c r="C19" s="48" t="n">
        <v>50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</t>
        </is>
      </c>
      <c r="B20" s="42" t="inlineStr">
        <is>
          <t>R.L Steel / Laxcon / LSR</t>
        </is>
      </c>
      <c r="C20" s="43" t="n">
        <v>53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</t>
        </is>
      </c>
      <c r="B21" s="47" t="inlineStr">
        <is>
          <t>R.L Steel / Laxcon / LSR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</t>
        </is>
      </c>
      <c r="B22" s="42" t="inlineStr">
        <is>
          <t>R.L Steel / Laxcon / LSR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</t>
        </is>
      </c>
      <c r="B23" s="47" t="inlineStr">
        <is>
          <t>R.L Steel / Laxcon / LSR</t>
        </is>
      </c>
      <c r="C23" s="48" t="n">
        <v>63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</t>
        </is>
      </c>
      <c r="B24" s="42" t="inlineStr">
        <is>
          <t>R.L Steel / Laxcon / LSR</t>
        </is>
      </c>
      <c r="C24" s="43" t="n">
        <v>65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</t>
        </is>
      </c>
      <c r="B25" s="47" t="inlineStr">
        <is>
          <t>R.L Steel / Laxcon / LSR</t>
        </is>
      </c>
      <c r="C25" s="48" t="n">
        <v>70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</t>
        </is>
      </c>
      <c r="B26" s="42" t="inlineStr">
        <is>
          <t>R.L Steel / Laxcon / LSR</t>
        </is>
      </c>
      <c r="C26" s="43" t="n">
        <v>80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</t>
        </is>
      </c>
      <c r="B27" s="47" t="inlineStr">
        <is>
          <t>R.L Steel / Laxcon / LSR</t>
        </is>
      </c>
      <c r="C27" s="48" t="n">
        <v>85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</t>
        </is>
      </c>
      <c r="B28" s="42" t="inlineStr">
        <is>
          <t>R.L Steel / Laxcon / LSR</t>
        </is>
      </c>
      <c r="C28" s="43" t="n">
        <v>90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</t>
        </is>
      </c>
      <c r="B29" s="47" t="inlineStr">
        <is>
          <t>R.L Steel / Laxcon / LSR</t>
        </is>
      </c>
      <c r="C29" s="48" t="n">
        <v>95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</t>
        </is>
      </c>
      <c r="B30" s="42" t="inlineStr">
        <is>
          <t>R.L Steel / Laxcon / LSR</t>
        </is>
      </c>
      <c r="C30" s="43" t="n">
        <v>100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</t>
        </is>
      </c>
      <c r="B31" s="47" t="inlineStr">
        <is>
          <t>R.L Steel / Laxcon / LSR</t>
        </is>
      </c>
      <c r="C31" s="48" t="n">
        <v>105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</t>
        </is>
      </c>
      <c r="B32" s="42" t="inlineStr">
        <is>
          <t>R.L Steel / Laxcon / LSR</t>
        </is>
      </c>
      <c r="C32" s="43" t="n">
        <v>110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</t>
        </is>
      </c>
      <c r="B33" s="47" t="inlineStr">
        <is>
          <t>R.L Steel / Laxcon / LSR</t>
        </is>
      </c>
      <c r="C33" s="48" t="n">
        <v>115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</t>
        </is>
      </c>
      <c r="B34" s="42" t="inlineStr">
        <is>
          <t>R.L Steel / Laxcon / LSR</t>
        </is>
      </c>
      <c r="C34" s="43" t="n">
        <v>120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</t>
        </is>
      </c>
      <c r="B35" s="47" t="inlineStr">
        <is>
          <t>R.L Steel / Laxcon / LSR</t>
        </is>
      </c>
      <c r="C35" s="48" t="n">
        <v>125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</t>
        </is>
      </c>
      <c r="B36" s="42" t="inlineStr">
        <is>
          <t>R.L Steel / Laxcon / LSR</t>
        </is>
      </c>
      <c r="C36" s="43" t="n">
        <v>130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</t>
        </is>
      </c>
      <c r="B37" s="47" t="inlineStr">
        <is>
          <t>R.L Steel / Laxcon / LSR</t>
        </is>
      </c>
      <c r="C37" s="48" t="n">
        <v>140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</t>
        </is>
      </c>
      <c r="B38" s="42" t="inlineStr">
        <is>
          <t>R.L Steel / Laxcon / LSR</t>
        </is>
      </c>
      <c r="C38" s="43" t="n">
        <v>150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</t>
        </is>
      </c>
      <c r="B39" s="47" t="inlineStr">
        <is>
          <t>R.L Steel / Laxcon / LSR</t>
        </is>
      </c>
      <c r="C39" s="48" t="n">
        <v>160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</t>
        </is>
      </c>
      <c r="B40" s="42" t="inlineStr">
        <is>
          <t>R.L Steel / Laxcon / LSR</t>
        </is>
      </c>
      <c r="C40" s="43" t="n">
        <v>170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</t>
        </is>
      </c>
      <c r="B41" s="47" t="inlineStr">
        <is>
          <t>R.L Steel / Laxcon / LSR</t>
        </is>
      </c>
      <c r="C41" s="48" t="n">
        <v>180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</t>
        </is>
      </c>
      <c r="B42" s="42" t="inlineStr">
        <is>
          <t>R.L Steel / Laxcon / LSR</t>
        </is>
      </c>
      <c r="C42" s="43" t="n">
        <v>190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</t>
        </is>
      </c>
      <c r="B43" s="47" t="inlineStr">
        <is>
          <t>R.L Steel / Laxcon / LSR</t>
        </is>
      </c>
      <c r="C43" s="48" t="n">
        <v>200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Forging Rod</t>
        </is>
      </c>
      <c r="B44" s="42" t="inlineStr"/>
      <c r="C44" s="43" t="n">
        <v>210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Forging Rod</t>
        </is>
      </c>
      <c r="B45" s="47" t="inlineStr"/>
      <c r="C45" s="48" t="n">
        <v>220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Forging Rod</t>
        </is>
      </c>
      <c r="B46" s="42" t="inlineStr"/>
      <c r="C46" s="43" t="n">
        <v>230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Forging Rod</t>
        </is>
      </c>
      <c r="B47" s="47" t="inlineStr"/>
      <c r="C47" s="48" t="n">
        <v>240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Forging Rod</t>
        </is>
      </c>
      <c r="B48" s="42" t="inlineStr"/>
      <c r="C48" s="43" t="n">
        <v>250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Forging Rod</t>
        </is>
      </c>
      <c r="B49" s="47" t="inlineStr"/>
      <c r="C49" s="48" t="n">
        <v>260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Forging Rod</t>
        </is>
      </c>
      <c r="B50" s="42" t="inlineStr"/>
      <c r="C50" s="43" t="n">
        <v>270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Forging Rod</t>
        </is>
      </c>
      <c r="B51" s="47" t="inlineStr"/>
      <c r="C51" s="48" t="n">
        <v>280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Forging Rod</t>
        </is>
      </c>
      <c r="B52" s="42" t="inlineStr"/>
      <c r="C52" s="43" t="n">
        <v>290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Forging Rod</t>
        </is>
      </c>
      <c r="B53" s="47" t="inlineStr"/>
      <c r="C53" s="48" t="n">
        <v>300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Forging Rod</t>
        </is>
      </c>
      <c r="B54" s="42" t="inlineStr"/>
      <c r="C54" s="43" t="n">
        <v>310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Forging Rod</t>
        </is>
      </c>
      <c r="B55" s="47" t="inlineStr"/>
      <c r="C55" s="48" t="n">
        <v>320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Forging Rod</t>
        </is>
      </c>
      <c r="B56" s="42" t="inlineStr"/>
      <c r="C56" s="43" t="n">
        <v>330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Forging Rod</t>
        </is>
      </c>
      <c r="B57" s="47" t="inlineStr"/>
      <c r="C57" s="48" t="n">
        <v>340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Forging Rod</t>
        </is>
      </c>
      <c r="B58" s="42" t="inlineStr"/>
      <c r="C58" s="43" t="n">
        <v>350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Forging Rod</t>
        </is>
      </c>
      <c r="B59" s="47" t="inlineStr"/>
      <c r="C59" s="48" t="n">
        <v>360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Forging Rod</t>
        </is>
      </c>
      <c r="B60" s="42" t="inlineStr"/>
      <c r="C60" s="43" t="n">
        <v>370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Forging Rod</t>
        </is>
      </c>
      <c r="B61" s="47" t="inlineStr"/>
      <c r="C61" s="48" t="n">
        <v>380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Forging Rod</t>
        </is>
      </c>
      <c r="B62" s="42" t="inlineStr"/>
      <c r="C62" s="43" t="n">
        <v>390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Forging Rod</t>
        </is>
      </c>
      <c r="B63" s="47" t="inlineStr"/>
      <c r="C63" s="48" t="n">
        <v>400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Forging Rod</t>
        </is>
      </c>
      <c r="B64" s="42" t="inlineStr"/>
      <c r="C64" s="43" t="n">
        <v>410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Forging Rod</t>
        </is>
      </c>
      <c r="B65" s="47" t="inlineStr"/>
      <c r="C65" s="48" t="n">
        <v>420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Forging Rod</t>
        </is>
      </c>
      <c r="B66" s="42" t="inlineStr"/>
      <c r="C66" s="43" t="n">
        <v>430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Forging Rod</t>
        </is>
      </c>
      <c r="B67" s="47" t="inlineStr"/>
      <c r="C67" s="48" t="n">
        <v>440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Forging Rod</t>
        </is>
      </c>
      <c r="B68" s="42" t="inlineStr"/>
      <c r="C68" s="43" t="n">
        <v>450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Bar","",IFERROR(INDEX(LET(cat,$C$8:$C$68,box,VSTACK($P$2,$L$7:$L$26),live,UNIQUE(FILTER(VSTACK(cat,box),VSTACK(cat,box)&lt;&gt;"")),FILTER(live,COUNTIF(cat,live)=0)),1),""))</f>
        <v/>
      </c>
      <c r="D69" s="49" t="n"/>
      <c r="E69" s="49">
        <f>$I$3</f>
        <v/>
      </c>
      <c r="F69" s="50">
        <f>IF(D69="","",D69+$I$3)</f>
        <v/>
      </c>
      <c r="G69" s="51" t="inlineStr">
        <is>
          <t>New size from Add Size — type a base price; selling uses $I$3</t>
        </is>
      </c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Bar","",IFERROR(INDEX(LET(cat,$C$8:$C$68,box,VSTACK($P$2,$L$7:$L$26),live,UNIQUE(FILTER(VSTACK(cat,box),VSTACK(cat,box)&lt;&gt;"")),FILTER(live,COUNTIF(cat,live)=0)),2),""))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Bar","",IFERROR(INDEX(LET(cat,$C$8:$C$68,box,VSTACK($P$2,$L$7:$L$26),live,UNIQUE(FILTER(VSTACK(cat,box),VSTACK(cat,box)&lt;&gt;"")),FILTER(live,COUNTIF(cat,live)=0)),3),""))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Bar","",IFERROR(INDEX(LET(cat,$C$8:$C$68,box,VSTACK($P$2,$L$7:$L$26),live,UNIQUE(FILTER(VSTACK(cat,box),VSTACK(cat,box)&lt;&gt;"")),FILTER(live,COUNTIF(cat,live)=0)),4),""))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Bar","",IFERROR(INDEX(LET(cat,$C$8:$C$68,box,VSTACK($P$2,$L$7:$L$26),live,UNIQUE(FILTER(VSTACK(cat,box),VSTACK(cat,box)&lt;&gt;"")),FILTER(live,COUNTIF(cat,live)=0)),5),""))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Bar","",IFERROR(INDEX(LET(cat,$C$8:$C$68,box,VSTACK($P$2,$L$7:$L$26),live,UNIQUE(FILTER(VSTACK(cat,box),VSTACK(cat,box)&lt;&gt;"")),FILTER(live,COUNTIF(cat,live)=0)),6),""))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Bar","",IFERROR(INDEX(LET(cat,$C$8:$C$68,box,VSTACK($P$2,$L$7:$L$26),live,UNIQUE(FILTER(VSTACK(cat,box),VSTACK(cat,box)&lt;&gt;"")),FILTER(live,COUNTIF(cat,live)=0)),7),""))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Bar","",IFERROR(INDEX(LET(cat,$C$8:$C$68,box,VSTACK($P$2,$L$7:$L$26),live,UNIQUE(FILTER(VSTACK(cat,box),VSTACK(cat,box)&lt;&gt;"")),FILTER(live,COUNTIF(cat,live)=0)),8),""))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Bar","",IFERROR(INDEX(LET(cat,$C$8:$C$68,box,VSTACK($P$2,$L$7:$L$26),live,UNIQUE(FILTER(VSTACK(cat,box),VSTACK(cat,box)&lt;&gt;"")),FILTER(live,COUNTIF(cat,live)=0)),9),""))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Bar","",IFERROR(INDEX(LET(cat,$C$8:$C$68,box,VSTACK($P$2,$L$7:$L$26),live,UNIQUE(FILTER(VSTACK(cat,box),VSTACK(cat,box)&lt;&gt;"")),FILTER(live,COUNTIF(cat,live)=0)),10),""))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Bar","",IFERROR(INDEX(LET(cat,$C$8:$C$68,box,VSTACK($P$2,$L$7:$L$26),live,UNIQUE(FILTER(VSTACK(cat,box),VSTACK(cat,box)&lt;&gt;"")),FILTER(live,COUNTIF(cat,live)=0)),11),""))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IF($M$2&lt;&gt;"Round Bar","",IFERROR(INDEX(LET(cat,$C$8:$C$68,box,VSTACK($P$2,$L$7:$L$26),live,UNIQUE(FILTER(VSTACK(cat,box),VSTACK(cat,box)&lt;&gt;"")),FILTER(live,COUNTIF(cat,live)=0)),12),""))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IF($M$2&lt;&gt;"Round Bar","",IFERROR(INDEX(LET(cat,$C$8:$C$68,box,VSTACK($P$2,$L$7:$L$26),live,UNIQUE(FILTER(VSTACK(cat,box),VSTACK(cat,box)&lt;&gt;"")),FILTER(live,COUNTIF(cat,live)=0)),13),""))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IF($M$2&lt;&gt;"Round Bar","",IFERROR(INDEX(LET(cat,$C$8:$C$68,box,VSTACK($P$2,$L$7:$L$26),live,UNIQUE(FILTER(VSTACK(cat,box),VSTACK(cat,box)&lt;&gt;"")),FILTER(live,COUNTIF(cat,live)=0)),14),""))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IF($M$2&lt;&gt;"Round Bar","",IFERROR(INDEX(LET(cat,$C$8:$C$68,box,VSTACK($P$2,$L$7:$L$26),live,UNIQUE(FILTER(VSTACK(cat,box),VSTACK(cat,box)&lt;&gt;"")),FILTER(live,COUNTIF(cat,live)=0)),15),""))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IF($M$2&lt;&gt;"Round Bar","",IFERROR(INDEX(LET(cat,$C$8:$C$68,box,VSTACK($P$2,$L$7:$L$26),live,UNIQUE(FILTER(VSTACK(cat,box),VSTACK(cat,box)&lt;&gt;"")),FILTER(live,COUNTIF(cat,live)=0)),16),""))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IF($M$2&lt;&gt;"Round Bar","",IFERROR(INDEX(LET(cat,$C$8:$C$68,box,VSTACK($P$2,$L$7:$L$26),live,UNIQUE(FILTER(VSTACK(cat,box),VSTACK(cat,box)&lt;&gt;"")),FILTER(live,COUNTIF(cat,live)=0)),17),""))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IF($M$2&lt;&gt;"Round Bar","",IFERROR(INDEX(LET(cat,$C$8:$C$68,box,VSTACK($P$2,$L$7:$L$26),live,UNIQUE(FILTER(VSTACK(cat,box),VSTACK(cat,box)&lt;&gt;"")),FILTER(live,COUNTIF(cat,live)=0)),18),""))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IF($M$2&lt;&gt;"Round Bar","",IFERROR(INDEX(LET(cat,$C$8:$C$68,box,VSTACK($P$2,$L$7:$L$26),live,UNIQUE(FILTER(VSTACK(cat,box),VSTACK(cat,box)&lt;&gt;"")),FILTER(live,COUNTIF(cat,live)=0)),19),""))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IF($M$2&lt;&gt;"Round Bar","",IFERROR(INDEX(LET(cat,$C$8:$C$68,box,VSTACK($P$2,$L$7:$L$26),live,UNIQUE(FILTER(VSTACK(cat,box),VSTACK(cat,box)&lt;&gt;"")),FILTER(live,COUNTIF(cat,live)=0)),20),""))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8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EN-353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Bar",IF(OR(COUNTIF($C$8:$C$59,$P$2)&gt;0,COUNTIF($L$7:$L$26,$P$2)&gt;0),"Already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 (Rolled)</t>
        </is>
      </c>
      <c r="B8" s="42" t="inlineStr">
        <is>
          <t>Super Forge Steel / LSR</t>
        </is>
      </c>
      <c r="C8" s="43" t="n">
        <v>16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 (Rolled)</t>
        </is>
      </c>
      <c r="B9" s="47" t="inlineStr">
        <is>
          <t>Super Forge Steel / LSR</t>
        </is>
      </c>
      <c r="C9" s="48" t="n">
        <v>18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 (Rolled)</t>
        </is>
      </c>
      <c r="B10" s="42" t="inlineStr">
        <is>
          <t>Super Forge Steel / LSR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 (Rolled)</t>
        </is>
      </c>
      <c r="B11" s="47" t="inlineStr">
        <is>
          <t>Super Forge Steel / LSR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 (Rolled)</t>
        </is>
      </c>
      <c r="B12" s="42" t="inlineStr">
        <is>
          <t>Super Forge Steel / LSR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 (Rolled)</t>
        </is>
      </c>
      <c r="B13" s="47" t="inlineStr">
        <is>
          <t>Super Forge Steel / LSR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 (Rolled)</t>
        </is>
      </c>
      <c r="B14" s="42" t="inlineStr">
        <is>
          <t>Super Forge Steel / LSR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 (Rolled)</t>
        </is>
      </c>
      <c r="B15" s="47" t="inlineStr">
        <is>
          <t>Super Forge Steel / LSR</t>
        </is>
      </c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 (Rolled)</t>
        </is>
      </c>
      <c r="B16" s="42" t="inlineStr">
        <is>
          <t>Super Forge Steel / LSR</t>
        </is>
      </c>
      <c r="C16" s="43" t="n">
        <v>40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 (Rolled)</t>
        </is>
      </c>
      <c r="B17" s="47" t="inlineStr">
        <is>
          <t>Super Forge Steel / LSR</t>
        </is>
      </c>
      <c r="C17" s="48" t="n">
        <v>42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 (Rolled)</t>
        </is>
      </c>
      <c r="B18" s="42" t="inlineStr">
        <is>
          <t>Super Forge Steel / LSR</t>
        </is>
      </c>
      <c r="C18" s="43" t="n">
        <v>45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 (Rolled)</t>
        </is>
      </c>
      <c r="B19" s="47" t="inlineStr">
        <is>
          <t>Super Forge Steel / LSR</t>
        </is>
      </c>
      <c r="C19" s="48" t="n">
        <v>50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 (Rolled)</t>
        </is>
      </c>
      <c r="B20" s="42" t="inlineStr">
        <is>
          <t>Super Forge Steel / LSR</t>
        </is>
      </c>
      <c r="C20" s="43" t="n">
        <v>53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 (Rolled)</t>
        </is>
      </c>
      <c r="B21" s="47" t="inlineStr">
        <is>
          <t>Super Forge Steel / LSR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 (Rolled)</t>
        </is>
      </c>
      <c r="B22" s="42" t="inlineStr">
        <is>
          <t>Super Forge Steel / LSR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 (Rolled)</t>
        </is>
      </c>
      <c r="B23" s="47" t="inlineStr">
        <is>
          <t>Super Forge Steel / LSR</t>
        </is>
      </c>
      <c r="C23" s="48" t="n">
        <v>65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 (Rolled)</t>
        </is>
      </c>
      <c r="B24" s="42" t="inlineStr">
        <is>
          <t>Super Forge Steel / LSR</t>
        </is>
      </c>
      <c r="C24" s="43" t="n">
        <v>70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 (Rolled)</t>
        </is>
      </c>
      <c r="B25" s="47" t="inlineStr">
        <is>
          <t>Super Forge Steel / LSR</t>
        </is>
      </c>
      <c r="C25" s="48" t="n">
        <v>80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 (Rolled)</t>
        </is>
      </c>
      <c r="B26" s="42" t="inlineStr">
        <is>
          <t>Super Forge Steel / LSR</t>
        </is>
      </c>
      <c r="C26" s="43" t="n">
        <v>85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 (Rolled)</t>
        </is>
      </c>
      <c r="B27" s="47" t="inlineStr">
        <is>
          <t>Super Forge Steel / LSR</t>
        </is>
      </c>
      <c r="C27" s="48" t="n">
        <v>90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 (Rolled)</t>
        </is>
      </c>
      <c r="B28" s="42" t="inlineStr">
        <is>
          <t>Super Forge Steel / LSR</t>
        </is>
      </c>
      <c r="C28" s="43" t="n">
        <v>95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 (Rolled)</t>
        </is>
      </c>
      <c r="B29" s="47" t="inlineStr">
        <is>
          <t>Super Forge Steel / LSR</t>
        </is>
      </c>
      <c r="C29" s="48" t="n">
        <v>100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 (Rolled)</t>
        </is>
      </c>
      <c r="B30" s="42" t="inlineStr">
        <is>
          <t>Super Forge Steel / LSR</t>
        </is>
      </c>
      <c r="C30" s="43" t="n">
        <v>105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 (Rolled)</t>
        </is>
      </c>
      <c r="B31" s="47" t="inlineStr">
        <is>
          <t>Super Forge Steel / LSR</t>
        </is>
      </c>
      <c r="C31" s="48" t="n">
        <v>110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 (Rolled)</t>
        </is>
      </c>
      <c r="B32" s="42" t="inlineStr">
        <is>
          <t>Super Forge Steel / LSR</t>
        </is>
      </c>
      <c r="C32" s="43" t="n">
        <v>115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 (Rolled)</t>
        </is>
      </c>
      <c r="B33" s="47" t="inlineStr">
        <is>
          <t>Super Forge Steel / LSR</t>
        </is>
      </c>
      <c r="C33" s="48" t="n">
        <v>120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 (Rolled)</t>
        </is>
      </c>
      <c r="B34" s="42" t="inlineStr">
        <is>
          <t>Super Forge Steel / LSR</t>
        </is>
      </c>
      <c r="C34" s="43" t="n">
        <v>125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 (Rolled)</t>
        </is>
      </c>
      <c r="B35" s="47" t="inlineStr">
        <is>
          <t>Super Forge Steel / LSR</t>
        </is>
      </c>
      <c r="C35" s="48" t="n">
        <v>130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 (Rolled)</t>
        </is>
      </c>
      <c r="B36" s="42" t="inlineStr">
        <is>
          <t>Super Forge Steel / LSR</t>
        </is>
      </c>
      <c r="C36" s="43" t="n">
        <v>140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 (Rolled)</t>
        </is>
      </c>
      <c r="B37" s="47" t="inlineStr">
        <is>
          <t>Super Forge Steel / LSR</t>
        </is>
      </c>
      <c r="C37" s="48" t="n">
        <v>150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 (Rolled)</t>
        </is>
      </c>
      <c r="B38" s="42" t="inlineStr">
        <is>
          <t>Super Forge Steel / LSR</t>
        </is>
      </c>
      <c r="C38" s="43" t="n">
        <v>160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Forging Rod</t>
        </is>
      </c>
      <c r="B39" s="47" t="inlineStr"/>
      <c r="C39" s="48" t="n">
        <v>150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Forging Rod</t>
        </is>
      </c>
      <c r="B40" s="42" t="inlineStr"/>
      <c r="C40" s="43" t="n">
        <v>160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Forging Rod</t>
        </is>
      </c>
      <c r="B41" s="47" t="inlineStr"/>
      <c r="C41" s="48" t="n">
        <v>170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Forging Rod</t>
        </is>
      </c>
      <c r="B42" s="42" t="inlineStr"/>
      <c r="C42" s="43" t="n">
        <v>180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Forging Rod</t>
        </is>
      </c>
      <c r="B43" s="47" t="inlineStr"/>
      <c r="C43" s="48" t="n">
        <v>190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Forging Rod</t>
        </is>
      </c>
      <c r="B44" s="42" t="inlineStr"/>
      <c r="C44" s="43" t="n">
        <v>200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Forging Rod</t>
        </is>
      </c>
      <c r="B45" s="47" t="inlineStr"/>
      <c r="C45" s="48" t="n">
        <v>210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Forging Rod</t>
        </is>
      </c>
      <c r="B46" s="42" t="inlineStr"/>
      <c r="C46" s="43" t="n">
        <v>220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Forging Rod</t>
        </is>
      </c>
      <c r="B47" s="47" t="inlineStr"/>
      <c r="C47" s="48" t="n">
        <v>230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Forging Rod</t>
        </is>
      </c>
      <c r="B48" s="42" t="inlineStr"/>
      <c r="C48" s="43" t="n">
        <v>240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Forging Rod</t>
        </is>
      </c>
      <c r="B49" s="47" t="inlineStr"/>
      <c r="C49" s="48" t="n">
        <v>250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Forging Rod</t>
        </is>
      </c>
      <c r="B50" s="42" t="inlineStr"/>
      <c r="C50" s="43" t="n">
        <v>260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Forging Rod</t>
        </is>
      </c>
      <c r="B51" s="47" t="inlineStr"/>
      <c r="C51" s="48" t="n">
        <v>270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Forging Rod</t>
        </is>
      </c>
      <c r="B52" s="42" t="inlineStr"/>
      <c r="C52" s="43" t="n">
        <v>280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Forging Rod</t>
        </is>
      </c>
      <c r="B53" s="47" t="inlineStr"/>
      <c r="C53" s="48" t="n">
        <v>290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Forging Rod</t>
        </is>
      </c>
      <c r="B54" s="42" t="inlineStr"/>
      <c r="C54" s="43" t="n">
        <v>300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Forging Rod</t>
        </is>
      </c>
      <c r="B55" s="47" t="inlineStr"/>
      <c r="C55" s="48" t="n">
        <v>310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Forging Rod</t>
        </is>
      </c>
      <c r="B56" s="42" t="inlineStr"/>
      <c r="C56" s="43" t="n">
        <v>320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Forging Rod</t>
        </is>
      </c>
      <c r="B57" s="47" t="inlineStr"/>
      <c r="C57" s="48" t="n">
        <v>330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Forging Rod</t>
        </is>
      </c>
      <c r="B58" s="42" t="inlineStr"/>
      <c r="C58" s="43" t="n">
        <v>340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Forging Rod</t>
        </is>
      </c>
      <c r="B59" s="47" t="inlineStr"/>
      <c r="C59" s="48" t="n">
        <v>350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/>
      <c r="B60" s="42" t="inlineStr"/>
      <c r="C60" s="43">
        <f>IF($M$2&lt;&gt;"Round Bar","",IFERROR(INDEX(LET(cat,$C$8:$C$59,box,VSTACK($P$2,$L$7:$L$26),live,UNIQUE(FILTER(VSTACK(cat,box),VSTACK(cat,box)&lt;&gt;"")),FILTER(live,COUNTIF(cat,live)=0)),1),""))</f>
        <v/>
      </c>
      <c r="D60" s="44" t="n"/>
      <c r="E60" s="44">
        <f>$I$3</f>
        <v/>
      </c>
      <c r="F60" s="45">
        <f>IF(D60="","",D60+$I$3)</f>
        <v/>
      </c>
      <c r="G60" s="46" t="inlineStr">
        <is>
          <t>New size from Add Size — type a base price; selling uses $I$3</t>
        </is>
      </c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/>
      <c r="B61" s="47" t="inlineStr"/>
      <c r="C61" s="48">
        <f>IF($M$2&lt;&gt;"Round Bar","",IFERROR(INDEX(LET(cat,$C$8:$C$59,box,VSTACK($P$2,$L$7:$L$26),live,UNIQUE(FILTER(VSTACK(cat,box),VSTACK(cat,box)&lt;&gt;"")),FILTER(live,COUNTIF(cat,live)=0)),2),""))</f>
        <v/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/>
      <c r="B62" s="42" t="inlineStr"/>
      <c r="C62" s="43">
        <f>IF($M$2&lt;&gt;"Round Bar","",IFERROR(INDEX(LET(cat,$C$8:$C$59,box,VSTACK($P$2,$L$7:$L$26),live,UNIQUE(FILTER(VSTACK(cat,box),VSTACK(cat,box)&lt;&gt;"")),FILTER(live,COUNTIF(cat,live)=0)),3),""))</f>
        <v/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/>
      <c r="B63" s="47" t="inlineStr"/>
      <c r="C63" s="48">
        <f>IF($M$2&lt;&gt;"Round Bar","",IFERROR(INDEX(LET(cat,$C$8:$C$59,box,VSTACK($P$2,$L$7:$L$26),live,UNIQUE(FILTER(VSTACK(cat,box),VSTACK(cat,box)&lt;&gt;"")),FILTER(live,COUNTIF(cat,live)=0)),4),""))</f>
        <v/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/>
      <c r="B64" s="42" t="inlineStr"/>
      <c r="C64" s="43">
        <f>IF($M$2&lt;&gt;"Round Bar","",IFERROR(INDEX(LET(cat,$C$8:$C$59,box,VSTACK($P$2,$L$7:$L$26),live,UNIQUE(FILTER(VSTACK(cat,box),VSTACK(cat,box)&lt;&gt;"")),FILTER(live,COUNTIF(cat,live)=0)),5),""))</f>
        <v/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/>
      <c r="B65" s="47" t="inlineStr"/>
      <c r="C65" s="48">
        <f>IF($M$2&lt;&gt;"Round Bar","",IFERROR(INDEX(LET(cat,$C$8:$C$59,box,VSTACK($P$2,$L$7:$L$26),live,UNIQUE(FILTER(VSTACK(cat,box),VSTACK(cat,box)&lt;&gt;"")),FILTER(live,COUNTIF(cat,live)=0)),6),""))</f>
        <v/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/>
      <c r="B66" s="42" t="inlineStr"/>
      <c r="C66" s="43">
        <f>IF($M$2&lt;&gt;"Round Bar","",IFERROR(INDEX(LET(cat,$C$8:$C$59,box,VSTACK($P$2,$L$7:$L$26),live,UNIQUE(FILTER(VSTACK(cat,box),VSTACK(cat,box)&lt;&gt;"")),FILTER(live,COUNTIF(cat,live)=0)),7),""))</f>
        <v/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/>
      <c r="B67" s="47" t="inlineStr"/>
      <c r="C67" s="48">
        <f>IF($M$2&lt;&gt;"Round Bar","",IFERROR(INDEX(LET(cat,$C$8:$C$59,box,VSTACK($P$2,$L$7:$L$26),live,UNIQUE(FILTER(VSTACK(cat,box),VSTACK(cat,box)&lt;&gt;"")),FILTER(live,COUNTIF(cat,live)=0)),8),""))</f>
        <v/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/>
      <c r="B68" s="42" t="inlineStr"/>
      <c r="C68" s="43">
        <f>IF($M$2&lt;&gt;"Round Bar","",IFERROR(INDEX(LET(cat,$C$8:$C$59,box,VSTACK($P$2,$L$7:$L$26),live,UNIQUE(FILTER(VSTACK(cat,box),VSTACK(cat,box)&lt;&gt;"")),FILTER(live,COUNTIF(cat,live)=0)),9),""))</f>
        <v/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Bar","",IFERROR(INDEX(LET(cat,$C$8:$C$59,box,VSTACK($P$2,$L$7:$L$26),live,UNIQUE(FILTER(VSTACK(cat,box),VSTACK(cat,box)&lt;&gt;"")),FILTER(live,COUNTIF(cat,live)=0)),10),""))</f>
        <v/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Bar","",IFERROR(INDEX(LET(cat,$C$8:$C$59,box,VSTACK($P$2,$L$7:$L$26),live,UNIQUE(FILTER(VSTACK(cat,box),VSTACK(cat,box)&lt;&gt;"")),FILTER(live,COUNTIF(cat,live)=0)),11),""))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Bar","",IFERROR(INDEX(LET(cat,$C$8:$C$59,box,VSTACK($P$2,$L$7:$L$26),live,UNIQUE(FILTER(VSTACK(cat,box),VSTACK(cat,box)&lt;&gt;"")),FILTER(live,COUNTIF(cat,live)=0)),12),""))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Bar","",IFERROR(INDEX(LET(cat,$C$8:$C$59,box,VSTACK($P$2,$L$7:$L$26),live,UNIQUE(FILTER(VSTACK(cat,box),VSTACK(cat,box)&lt;&gt;"")),FILTER(live,COUNTIF(cat,live)=0)),13),""))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Bar","",IFERROR(INDEX(LET(cat,$C$8:$C$59,box,VSTACK($P$2,$L$7:$L$26),live,UNIQUE(FILTER(VSTACK(cat,box),VSTACK(cat,box)&lt;&gt;"")),FILTER(live,COUNTIF(cat,live)=0)),14),""))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Bar","",IFERROR(INDEX(LET(cat,$C$8:$C$59,box,VSTACK($P$2,$L$7:$L$26),live,UNIQUE(FILTER(VSTACK(cat,box),VSTACK(cat,box)&lt;&gt;"")),FILTER(live,COUNTIF(cat,live)=0)),15),""))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Bar","",IFERROR(INDEX(LET(cat,$C$8:$C$59,box,VSTACK($P$2,$L$7:$L$26),live,UNIQUE(FILTER(VSTACK(cat,box),VSTACK(cat,box)&lt;&gt;"")),FILTER(live,COUNTIF(cat,live)=0)),16),""))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Bar","",IFERROR(INDEX(LET(cat,$C$8:$C$59,box,VSTACK($P$2,$L$7:$L$26),live,UNIQUE(FILTER(VSTACK(cat,box),VSTACK(cat,box)&lt;&gt;"")),FILTER(live,COUNTIF(cat,live)=0)),17),""))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Bar","",IFERROR(INDEX(LET(cat,$C$8:$C$59,box,VSTACK($P$2,$L$7:$L$26),live,UNIQUE(FILTER(VSTACK(cat,box),VSTACK(cat,box)&lt;&gt;"")),FILTER(live,COUNTIF(cat,live)=0)),18),""))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Bar","",IFERROR(INDEX(LET(cat,$C$8:$C$59,box,VSTACK($P$2,$L$7:$L$26),live,UNIQUE(FILTER(VSTACK(cat,box),VSTACK(cat,box)&lt;&gt;"")),FILTER(live,COUNTIF(cat,live)=0)),19),""))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Bar","",IFERROR(INDEX(LET(cat,$C$8:$C$59,box,VSTACK($P$2,$L$7:$L$26),live,UNIQUE(FILTER(VSTACK(cat,box),VSTACK(cat,box)&lt;&gt;"")),FILTER(live,COUNTIF(cat,live)=0)),20),""))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EN-31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Bar",IF(OR(COUNTIF($C$8:$C$73,$P$2)&gt;0,COUNTIF($L$7:$L$26,$P$2)&gt;0),"Already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 (Rolled)</t>
        </is>
      </c>
      <c r="B8" s="42" t="inlineStr">
        <is>
          <t>LSR Steel Make</t>
        </is>
      </c>
      <c r="C8" s="43" t="n">
        <v>16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 (Rolled)</t>
        </is>
      </c>
      <c r="B9" s="47" t="inlineStr">
        <is>
          <t>LSR Steel Make</t>
        </is>
      </c>
      <c r="C9" s="48" t="n">
        <v>18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 (Rolled)</t>
        </is>
      </c>
      <c r="B10" s="42" t="inlineStr">
        <is>
          <t>LSR Steel Make</t>
        </is>
      </c>
      <c r="C10" s="43" t="n">
        <v>20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 (Rolled)</t>
        </is>
      </c>
      <c r="B11" s="47" t="inlineStr">
        <is>
          <t>LSR Steel Make</t>
        </is>
      </c>
      <c r="C11" s="48" t="n">
        <v>22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 (Rolled)</t>
        </is>
      </c>
      <c r="B12" s="42" t="inlineStr">
        <is>
          <t>LSR Steel Make</t>
        </is>
      </c>
      <c r="C12" s="43" t="n">
        <v>25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 (Rolled)</t>
        </is>
      </c>
      <c r="B13" s="47" t="inlineStr">
        <is>
          <t>LSR Steel Make</t>
        </is>
      </c>
      <c r="C13" s="48" t="n">
        <v>28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 (Rolled)</t>
        </is>
      </c>
      <c r="B14" s="42" t="inlineStr">
        <is>
          <t>LSR Steel Make</t>
        </is>
      </c>
      <c r="C14" s="43" t="n">
        <v>32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 (Rolled)</t>
        </is>
      </c>
      <c r="B15" s="47" t="inlineStr">
        <is>
          <t>LSR Steel Make</t>
        </is>
      </c>
      <c r="C15" s="48" t="n">
        <v>36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 (Rolled)</t>
        </is>
      </c>
      <c r="B16" s="42" t="inlineStr">
        <is>
          <t>LSR Steel Make</t>
        </is>
      </c>
      <c r="C16" s="43" t="n">
        <v>40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 (Rolled)</t>
        </is>
      </c>
      <c r="B17" s="47" t="inlineStr">
        <is>
          <t>LSR Steel Make</t>
        </is>
      </c>
      <c r="C17" s="48" t="n">
        <v>42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 (Rolled)</t>
        </is>
      </c>
      <c r="B18" s="42" t="inlineStr">
        <is>
          <t>LSR Steel Make</t>
        </is>
      </c>
      <c r="C18" s="43" t="n">
        <v>45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 (Rolled)</t>
        </is>
      </c>
      <c r="B19" s="47" t="inlineStr">
        <is>
          <t>LSR Steel Make</t>
        </is>
      </c>
      <c r="C19" s="48" t="n">
        <v>50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 (Rolled)</t>
        </is>
      </c>
      <c r="B20" s="42" t="inlineStr">
        <is>
          <t>LSR Steel Make</t>
        </is>
      </c>
      <c r="C20" s="43" t="n">
        <v>53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 (Rolled)</t>
        </is>
      </c>
      <c r="B21" s="47" t="inlineStr">
        <is>
          <t>LSR Steel Make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 (Rolled)</t>
        </is>
      </c>
      <c r="B22" s="42" t="inlineStr">
        <is>
          <t>LSR Steel Make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 (Rolled)</t>
        </is>
      </c>
      <c r="B23" s="47" t="inlineStr">
        <is>
          <t>LSR Steel Make</t>
        </is>
      </c>
      <c r="C23" s="48" t="n">
        <v>63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 (Rolled)</t>
        </is>
      </c>
      <c r="B24" s="42" t="inlineStr">
        <is>
          <t>LSR Steel Make</t>
        </is>
      </c>
      <c r="C24" s="43" t="n">
        <v>65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 (Rolled)</t>
        </is>
      </c>
      <c r="B25" s="47" t="inlineStr">
        <is>
          <t>LSR Steel Make</t>
        </is>
      </c>
      <c r="C25" s="48" t="n">
        <v>70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Rod (Rolled)</t>
        </is>
      </c>
      <c r="B26" s="42" t="inlineStr">
        <is>
          <t>LSR Steel Make</t>
        </is>
      </c>
      <c r="C26" s="43" t="n">
        <v>80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Rod (Rolled)</t>
        </is>
      </c>
      <c r="B27" s="47" t="inlineStr">
        <is>
          <t>LSR Steel Make</t>
        </is>
      </c>
      <c r="C27" s="48" t="n">
        <v>85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Rod (Rolled)</t>
        </is>
      </c>
      <c r="B28" s="42" t="inlineStr">
        <is>
          <t>LSR Steel Make</t>
        </is>
      </c>
      <c r="C28" s="43" t="n">
        <v>90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Rod (Rolled)</t>
        </is>
      </c>
      <c r="B29" s="47" t="inlineStr">
        <is>
          <t>LSR Steel Make</t>
        </is>
      </c>
      <c r="C29" s="48" t="n">
        <v>95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Rod (Rolled)</t>
        </is>
      </c>
      <c r="B30" s="42" t="inlineStr">
        <is>
          <t>LSR Steel Make</t>
        </is>
      </c>
      <c r="C30" s="43" t="n">
        <v>100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Rod (Rolled)</t>
        </is>
      </c>
      <c r="B31" s="47" t="inlineStr">
        <is>
          <t>LSR Steel Make</t>
        </is>
      </c>
      <c r="C31" s="48" t="n">
        <v>105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Rod (Rolled)</t>
        </is>
      </c>
      <c r="B32" s="42" t="inlineStr">
        <is>
          <t>LSR Steel Make</t>
        </is>
      </c>
      <c r="C32" s="43" t="n">
        <v>110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Rod (Rolled)</t>
        </is>
      </c>
      <c r="B33" s="47" t="inlineStr">
        <is>
          <t>LSR Steel Make</t>
        </is>
      </c>
      <c r="C33" s="48" t="n">
        <v>115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Rod (Rolled)</t>
        </is>
      </c>
      <c r="B34" s="42" t="inlineStr">
        <is>
          <t>LSR Steel Make</t>
        </is>
      </c>
      <c r="C34" s="43" t="n">
        <v>120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Rod (Rolled)</t>
        </is>
      </c>
      <c r="B35" s="47" t="inlineStr">
        <is>
          <t>LSR Steel Make</t>
        </is>
      </c>
      <c r="C35" s="48" t="n">
        <v>125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Rod (Rolled)</t>
        </is>
      </c>
      <c r="B36" s="42" t="inlineStr">
        <is>
          <t>LSR Steel Make</t>
        </is>
      </c>
      <c r="C36" s="43" t="n">
        <v>130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Rod (Rolled)</t>
        </is>
      </c>
      <c r="B37" s="47" t="inlineStr">
        <is>
          <t>LSR Steel Make</t>
        </is>
      </c>
      <c r="C37" s="48" t="n">
        <v>140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Rod (Rolled)</t>
        </is>
      </c>
      <c r="B38" s="42" t="inlineStr">
        <is>
          <t>LSR Steel Make</t>
        </is>
      </c>
      <c r="C38" s="43" t="n">
        <v>150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Rod (Rolled)</t>
        </is>
      </c>
      <c r="B39" s="47" t="inlineStr">
        <is>
          <t>LSR Steel Make</t>
        </is>
      </c>
      <c r="C39" s="48" t="n">
        <v>160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Rod (Rolled)</t>
        </is>
      </c>
      <c r="B40" s="42" t="inlineStr">
        <is>
          <t>LSR Steel Make</t>
        </is>
      </c>
      <c r="C40" s="43" t="n">
        <v>170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Rod (Rolled)</t>
        </is>
      </c>
      <c r="B41" s="47" t="inlineStr">
        <is>
          <t>LSR Steel Make</t>
        </is>
      </c>
      <c r="C41" s="48" t="n">
        <v>180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Rod (Rolled)</t>
        </is>
      </c>
      <c r="B42" s="42" t="inlineStr">
        <is>
          <t>LSR Steel Make</t>
        </is>
      </c>
      <c r="C42" s="43" t="n">
        <v>190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Rod (Rolled)</t>
        </is>
      </c>
      <c r="B43" s="47" t="inlineStr">
        <is>
          <t>LSR Steel Make</t>
        </is>
      </c>
      <c r="C43" s="48" t="n">
        <v>200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Forging / Imported Rod</t>
        </is>
      </c>
      <c r="B44" s="42" t="inlineStr"/>
      <c r="C44" s="43" t="n">
        <v>160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Forging / Imported Rod</t>
        </is>
      </c>
      <c r="B45" s="47" t="inlineStr"/>
      <c r="C45" s="48" t="n">
        <v>170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Forging / Imported Rod</t>
        </is>
      </c>
      <c r="B46" s="42" t="inlineStr"/>
      <c r="C46" s="43" t="n">
        <v>180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Forging / Imported Rod</t>
        </is>
      </c>
      <c r="B47" s="47" t="inlineStr"/>
      <c r="C47" s="48" t="n">
        <v>190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Forging / Imported Rod</t>
        </is>
      </c>
      <c r="B48" s="42" t="inlineStr"/>
      <c r="C48" s="43" t="n">
        <v>200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Forging / Imported Rod</t>
        </is>
      </c>
      <c r="B49" s="47" t="inlineStr"/>
      <c r="C49" s="48" t="n">
        <v>210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Forging / Imported Rod</t>
        </is>
      </c>
      <c r="B50" s="42" t="inlineStr"/>
      <c r="C50" s="43" t="n">
        <v>220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Forging / Imported Rod</t>
        </is>
      </c>
      <c r="B51" s="47" t="inlineStr"/>
      <c r="C51" s="48" t="n">
        <v>230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Forging / Imported Rod</t>
        </is>
      </c>
      <c r="B52" s="42" t="inlineStr"/>
      <c r="C52" s="43" t="n">
        <v>240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Forging / Imported Rod</t>
        </is>
      </c>
      <c r="B53" s="47" t="inlineStr"/>
      <c r="C53" s="48" t="n">
        <v>250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Forging / Imported Rod</t>
        </is>
      </c>
      <c r="B54" s="42" t="inlineStr"/>
      <c r="C54" s="43" t="n">
        <v>260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Forging / Imported Rod</t>
        </is>
      </c>
      <c r="B55" s="47" t="inlineStr"/>
      <c r="C55" s="48" t="n">
        <v>270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Forging / Imported Rod</t>
        </is>
      </c>
      <c r="B56" s="42" t="inlineStr"/>
      <c r="C56" s="43" t="n">
        <v>280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Forging / Imported Rod</t>
        </is>
      </c>
      <c r="B57" s="47" t="inlineStr"/>
      <c r="C57" s="48" t="n">
        <v>290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Forging / Imported Rod</t>
        </is>
      </c>
      <c r="B58" s="42" t="inlineStr"/>
      <c r="C58" s="43" t="n">
        <v>300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Forging / Imported Rod</t>
        </is>
      </c>
      <c r="B59" s="47" t="inlineStr"/>
      <c r="C59" s="48" t="n">
        <v>310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Forging / Imported Rod</t>
        </is>
      </c>
      <c r="B60" s="42" t="inlineStr"/>
      <c r="C60" s="43" t="n">
        <v>320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Forging / Imported Rod</t>
        </is>
      </c>
      <c r="B61" s="47" t="inlineStr"/>
      <c r="C61" s="48" t="n">
        <v>330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Forging / Imported Rod</t>
        </is>
      </c>
      <c r="B62" s="42" t="inlineStr"/>
      <c r="C62" s="43" t="n">
        <v>340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Forging / Imported Rod</t>
        </is>
      </c>
      <c r="B63" s="47" t="inlineStr"/>
      <c r="C63" s="48" t="n">
        <v>350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Forging / Imported Rod</t>
        </is>
      </c>
      <c r="B64" s="42" t="inlineStr"/>
      <c r="C64" s="43" t="n">
        <v>360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Forging / Imported Rod</t>
        </is>
      </c>
      <c r="B65" s="47" t="inlineStr"/>
      <c r="C65" s="48" t="n">
        <v>370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Forging / Imported Rod</t>
        </is>
      </c>
      <c r="B66" s="42" t="inlineStr"/>
      <c r="C66" s="43" t="n">
        <v>380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Forging / Imported Rod</t>
        </is>
      </c>
      <c r="B67" s="47" t="inlineStr"/>
      <c r="C67" s="48" t="n">
        <v>390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Forging / Imported Rod</t>
        </is>
      </c>
      <c r="B68" s="42" t="inlineStr"/>
      <c r="C68" s="43" t="n">
        <v>400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>
        <is>
          <t>Forging / Imported Rod</t>
        </is>
      </c>
      <c r="B69" s="47" t="inlineStr"/>
      <c r="C69" s="48" t="n">
        <v>410</v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>
        <is>
          <t>Forging / Imported Rod</t>
        </is>
      </c>
      <c r="B70" s="42" t="inlineStr"/>
      <c r="C70" s="43" t="n">
        <v>420</v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>
        <is>
          <t>Forging / Imported Rod</t>
        </is>
      </c>
      <c r="B71" s="47" t="inlineStr"/>
      <c r="C71" s="48" t="n">
        <v>430</v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>
        <is>
          <t>Forging / Imported Rod</t>
        </is>
      </c>
      <c r="B72" s="42" t="inlineStr"/>
      <c r="C72" s="43" t="n">
        <v>440</v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>
        <is>
          <t>Forging / Imported Rod</t>
        </is>
      </c>
      <c r="B73" s="47" t="inlineStr"/>
      <c r="C73" s="48" t="n">
        <v>450</v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Bar","",IFERROR(INDEX(LET(cat,$C$8:$C$73,box,VSTACK($P$2,$L$7:$L$26),live,UNIQUE(FILTER(VSTACK(cat,box),VSTACK(cat,box)&lt;&gt;"")),FILTER(live,COUNTIF(cat,live)=0)),1),""))</f>
        <v/>
      </c>
      <c r="D74" s="44" t="n"/>
      <c r="E74" s="44">
        <f>$I$3</f>
        <v/>
      </c>
      <c r="F74" s="45">
        <f>IF(D74="","",D74+$I$3)</f>
        <v/>
      </c>
      <c r="G74" s="46" t="inlineStr">
        <is>
          <t>New size from Add Size — type a base price; selling uses $I$3</t>
        </is>
      </c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Bar","",IFERROR(INDEX(LET(cat,$C$8:$C$73,box,VSTACK($P$2,$L$7:$L$26),live,UNIQUE(FILTER(VSTACK(cat,box),VSTACK(cat,box)&lt;&gt;"")),FILTER(live,COUNTIF(cat,live)=0)),2),""))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Bar","",IFERROR(INDEX(LET(cat,$C$8:$C$73,box,VSTACK($P$2,$L$7:$L$26),live,UNIQUE(FILTER(VSTACK(cat,box),VSTACK(cat,box)&lt;&gt;"")),FILTER(live,COUNTIF(cat,live)=0)),3),""))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IF($M$2&lt;&gt;"Round Bar","",IFERROR(INDEX(LET(cat,$C$8:$C$73,box,VSTACK($P$2,$L$7:$L$26),live,UNIQUE(FILTER(VSTACK(cat,box),VSTACK(cat,box)&lt;&gt;"")),FILTER(live,COUNTIF(cat,live)=0)),4),""))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IF($M$2&lt;&gt;"Round Bar","",IFERROR(INDEX(LET(cat,$C$8:$C$73,box,VSTACK($P$2,$L$7:$L$26),live,UNIQUE(FILTER(VSTACK(cat,box),VSTACK(cat,box)&lt;&gt;"")),FILTER(live,COUNTIF(cat,live)=0)),5),""))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IF($M$2&lt;&gt;"Round Bar","",IFERROR(INDEX(LET(cat,$C$8:$C$73,box,VSTACK($P$2,$L$7:$L$26),live,UNIQUE(FILTER(VSTACK(cat,box),VSTACK(cat,box)&lt;&gt;"")),FILTER(live,COUNTIF(cat,live)=0)),6),""))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IF($M$2&lt;&gt;"Round Bar","",IFERROR(INDEX(LET(cat,$C$8:$C$73,box,VSTACK($P$2,$L$7:$L$26),live,UNIQUE(FILTER(VSTACK(cat,box),VSTACK(cat,box)&lt;&gt;"")),FILTER(live,COUNTIF(cat,live)=0)),7),""))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IF($M$2&lt;&gt;"Round Bar","",IFERROR(INDEX(LET(cat,$C$8:$C$73,box,VSTACK($P$2,$L$7:$L$26),live,UNIQUE(FILTER(VSTACK(cat,box),VSTACK(cat,box)&lt;&gt;"")),FILTER(live,COUNTIF(cat,live)=0)),8),""))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IF($M$2&lt;&gt;"Round Bar","",IFERROR(INDEX(LET(cat,$C$8:$C$73,box,VSTACK($P$2,$L$7:$L$26),live,UNIQUE(FILTER(VSTACK(cat,box),VSTACK(cat,box)&lt;&gt;"")),FILTER(live,COUNTIF(cat,live)=0)),9),""))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IF($M$2&lt;&gt;"Round Bar","",IFERROR(INDEX(LET(cat,$C$8:$C$73,box,VSTACK($P$2,$L$7:$L$26),live,UNIQUE(FILTER(VSTACK(cat,box),VSTACK(cat,box)&lt;&gt;"")),FILTER(live,COUNTIF(cat,live)=0)),10),""))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IF($M$2&lt;&gt;"Round Bar","",IFERROR(INDEX(LET(cat,$C$8:$C$73,box,VSTACK($P$2,$L$7:$L$26),live,UNIQUE(FILTER(VSTACK(cat,box),VSTACK(cat,box)&lt;&gt;"")),FILTER(live,COUNTIF(cat,live)=0)),11),""))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IF($M$2&lt;&gt;"Round Bar","",IFERROR(INDEX(LET(cat,$C$8:$C$73,box,VSTACK($P$2,$L$7:$L$26),live,UNIQUE(FILTER(VSTACK(cat,box),VSTACK(cat,box)&lt;&gt;"")),FILTER(live,COUNTIF(cat,live)=0)),12),""))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IF($M$2&lt;&gt;"Round Bar","",IFERROR(INDEX(LET(cat,$C$8:$C$73,box,VSTACK($P$2,$L$7:$L$26),live,UNIQUE(FILTER(VSTACK(cat,box),VSTACK(cat,box)&lt;&gt;"")),FILTER(live,COUNTIF(cat,live)=0)),13),""))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IF($M$2&lt;&gt;"Round Bar","",IFERROR(INDEX(LET(cat,$C$8:$C$73,box,VSTACK($P$2,$L$7:$L$26),live,UNIQUE(FILTER(VSTACK(cat,box),VSTACK(cat,box)&lt;&gt;"")),FILTER(live,COUNTIF(cat,live)=0)),14),""))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IF($M$2&lt;&gt;"Round Bar","",IFERROR(INDEX(LET(cat,$C$8:$C$73,box,VSTACK($P$2,$L$7:$L$26),live,UNIQUE(FILTER(VSTACK(cat,box),VSTACK(cat,box)&lt;&gt;"")),FILTER(live,COUNTIF(cat,live)=0)),15),""))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0" t="inlineStr"/>
      <c r="B89" s="47" t="inlineStr"/>
      <c r="C89" s="48">
        <f>IF($M$2&lt;&gt;"Round Bar","",IFERROR(INDEX(LET(cat,$C$8:$C$73,box,VSTACK($P$2,$L$7:$L$26),live,UNIQUE(FILTER(VSTACK(cat,box),VSTACK(cat,box)&lt;&gt;"")),FILTER(live,COUNTIF(cat,live)=0)),16),""))</f>
        <v/>
      </c>
      <c r="D89" s="49" t="n"/>
      <c r="E89" s="49">
        <f>$I$3</f>
        <v/>
      </c>
      <c r="F89" s="50">
        <f>IF(D89="","",D89+$I$3)</f>
        <v/>
      </c>
      <c r="G89" s="47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6" t="inlineStr"/>
      <c r="B90" s="42" t="inlineStr"/>
      <c r="C90" s="43">
        <f>IF($M$2&lt;&gt;"Round Bar","",IFERROR(INDEX(LET(cat,$C$8:$C$73,box,VSTACK($P$2,$L$7:$L$26),live,UNIQUE(FILTER(VSTACK(cat,box),VSTACK(cat,box)&lt;&gt;"")),FILTER(live,COUNTIF(cat,live)=0)),17),""))</f>
        <v/>
      </c>
      <c r="D90" s="44" t="n"/>
      <c r="E90" s="44">
        <f>$I$3</f>
        <v/>
      </c>
      <c r="F90" s="45">
        <f>IF(D90="","",D90+$I$3)</f>
        <v/>
      </c>
      <c r="G90" s="42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0" t="inlineStr"/>
      <c r="B91" s="47" t="inlineStr"/>
      <c r="C91" s="48">
        <f>IF($M$2&lt;&gt;"Round Bar","",IFERROR(INDEX(LET(cat,$C$8:$C$73,box,VSTACK($P$2,$L$7:$L$26),live,UNIQUE(FILTER(VSTACK(cat,box),VSTACK(cat,box)&lt;&gt;"")),FILTER(live,COUNTIF(cat,live)=0)),18),""))</f>
        <v/>
      </c>
      <c r="D91" s="49" t="n"/>
      <c r="E91" s="49">
        <f>$I$3</f>
        <v/>
      </c>
      <c r="F91" s="50">
        <f>IF(D91="","",D91+$I$3)</f>
        <v/>
      </c>
      <c r="G91" s="47" t="inlineStr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16" t="inlineStr"/>
      <c r="B92" s="42" t="inlineStr"/>
      <c r="C92" s="43">
        <f>IF($M$2&lt;&gt;"Round Bar","",IFERROR(INDEX(LET(cat,$C$8:$C$73,box,VSTACK($P$2,$L$7:$L$26),live,UNIQUE(FILTER(VSTACK(cat,box),VSTACK(cat,box)&lt;&gt;"")),FILTER(live,COUNTIF(cat,live)=0)),19),""))</f>
        <v/>
      </c>
      <c r="D92" s="44" t="n"/>
      <c r="E92" s="44">
        <f>$I$3</f>
        <v/>
      </c>
      <c r="F92" s="45">
        <f>IF(D92="","",D92+$I$3)</f>
        <v/>
      </c>
      <c r="G92" s="42" t="inlineStr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0" t="inlineStr"/>
      <c r="B93" s="47" t="inlineStr"/>
      <c r="C93" s="48">
        <f>IF($M$2&lt;&gt;"Round Bar","",IFERROR(INDEX(LET(cat,$C$8:$C$73,box,VSTACK($P$2,$L$7:$L$26),live,UNIQUE(FILTER(VSTACK(cat,box),VSTACK(cat,box)&lt;&gt;"")),FILTER(live,COUNTIF(cat,live)=0)),20),""))</f>
        <v/>
      </c>
      <c r="D93" s="49" t="n"/>
      <c r="E93" s="49">
        <f>$I$3</f>
        <v/>
      </c>
      <c r="F93" s="50">
        <f>IF(D93="","",D93+$I$3)</f>
        <v/>
      </c>
      <c r="G93" s="47" t="inlineStr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P2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 · Square Bar · Flat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Bar",IF(OR(COUNTIF($C$8:$C$56,$P$2)&gt;0,COUNTIF($L$7:$L$26,$P$2)&gt;0),"Already added — skipped","Added"),IF($M$2="Square Bar",IF(OR(COUNTIF($C$80:$C$97,$P$2)&gt;0,COUNTIF($L$7:$L$26,$P$2)&gt;0),"Already added — skipped","Added"),IF($M$2="Flat Bar",IF(OR(COUNTIF($E$121:$E$224,$P$2)&gt;0,COUNTIF($L$7:$L$26,$P$2)&gt;0),"Already added — skipped","Added"),"Pick a shape that exists on this sheet"))))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</t>
        </is>
      </c>
      <c r="B8" s="42" t="inlineStr">
        <is>
          <t>Super Forge Steel Make</t>
        </is>
      </c>
      <c r="C8" s="43" t="n">
        <v>8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Rod</t>
        </is>
      </c>
      <c r="B9" s="47" t="inlineStr">
        <is>
          <t>Super Forge Steel Make</t>
        </is>
      </c>
      <c r="C9" s="48" t="n">
        <v>10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Rod</t>
        </is>
      </c>
      <c r="B10" s="42" t="inlineStr">
        <is>
          <t>Super Forge Steel Make</t>
        </is>
      </c>
      <c r="C10" s="43" t="n">
        <v>13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Rod</t>
        </is>
      </c>
      <c r="B11" s="47" t="inlineStr">
        <is>
          <t>Super Forge Steel Make</t>
        </is>
      </c>
      <c r="C11" s="48" t="n">
        <v>16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Rod</t>
        </is>
      </c>
      <c r="B12" s="42" t="inlineStr">
        <is>
          <t>Super Forge Steel Make</t>
        </is>
      </c>
      <c r="C12" s="43" t="n">
        <v>20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Rod</t>
        </is>
      </c>
      <c r="B13" s="47" t="inlineStr">
        <is>
          <t>Super Forge Steel Make</t>
        </is>
      </c>
      <c r="C13" s="48" t="n">
        <v>22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Rod</t>
        </is>
      </c>
      <c r="B14" s="42" t="inlineStr">
        <is>
          <t>Super Forge Steel Make</t>
        </is>
      </c>
      <c r="C14" s="43" t="n">
        <v>26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Rod</t>
        </is>
      </c>
      <c r="B15" s="47" t="inlineStr">
        <is>
          <t>Super Forge Steel Make</t>
        </is>
      </c>
      <c r="C15" s="48" t="n">
        <v>28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Rod</t>
        </is>
      </c>
      <c r="B16" s="42" t="inlineStr">
        <is>
          <t>Super Forge Steel Make</t>
        </is>
      </c>
      <c r="C16" s="43" t="n">
        <v>32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Rod</t>
        </is>
      </c>
      <c r="B17" s="47" t="inlineStr">
        <is>
          <t>Super Forge Steel Make</t>
        </is>
      </c>
      <c r="C17" s="48" t="n">
        <v>36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Rod</t>
        </is>
      </c>
      <c r="B18" s="42" t="inlineStr">
        <is>
          <t>Super Forge Steel Make</t>
        </is>
      </c>
      <c r="C18" s="43" t="n">
        <v>40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Rod</t>
        </is>
      </c>
      <c r="B19" s="47" t="inlineStr">
        <is>
          <t>Super Forge Steel Make</t>
        </is>
      </c>
      <c r="C19" s="48" t="n">
        <v>45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Rod</t>
        </is>
      </c>
      <c r="B20" s="42" t="inlineStr">
        <is>
          <t>Super Forge Steel Make</t>
        </is>
      </c>
      <c r="C20" s="43" t="n">
        <v>50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Rod</t>
        </is>
      </c>
      <c r="B21" s="47" t="inlineStr">
        <is>
          <t>Super Forge Steel Make</t>
        </is>
      </c>
      <c r="C21" s="48" t="n">
        <v>56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Rod</t>
        </is>
      </c>
      <c r="B22" s="42" t="inlineStr">
        <is>
          <t>Super Forge Steel Make</t>
        </is>
      </c>
      <c r="C22" s="43" t="n">
        <v>60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Rod</t>
        </is>
      </c>
      <c r="B23" s="47" t="inlineStr">
        <is>
          <t>Super Forge Steel Make</t>
        </is>
      </c>
      <c r="C23" s="48" t="n">
        <v>63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Rod</t>
        </is>
      </c>
      <c r="B24" s="42" t="inlineStr">
        <is>
          <t>Super Forge Steel Make</t>
        </is>
      </c>
      <c r="C24" s="43" t="n">
        <v>70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Rod</t>
        </is>
      </c>
      <c r="B25" s="47" t="inlineStr">
        <is>
          <t>Super Forge Steel Make</t>
        </is>
      </c>
      <c r="C25" s="48" t="n">
        <v>75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Turn Rod Imported</t>
        </is>
      </c>
      <c r="B26" s="42" t="inlineStr">
        <is>
          <t>China Make</t>
        </is>
      </c>
      <c r="C26" s="43" t="n">
        <v>80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Turn Rod Imported</t>
        </is>
      </c>
      <c r="B27" s="47" t="inlineStr">
        <is>
          <t>China Make</t>
        </is>
      </c>
      <c r="C27" s="48" t="n">
        <v>85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Turn Rod Imported</t>
        </is>
      </c>
      <c r="B28" s="42" t="inlineStr">
        <is>
          <t>China Make</t>
        </is>
      </c>
      <c r="C28" s="43" t="n">
        <v>90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Turn Rod Imported</t>
        </is>
      </c>
      <c r="B29" s="47" t="inlineStr">
        <is>
          <t>China Make</t>
        </is>
      </c>
      <c r="C29" s="48" t="n">
        <v>100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Turn Rod Imported</t>
        </is>
      </c>
      <c r="B30" s="42" t="inlineStr">
        <is>
          <t>China Make</t>
        </is>
      </c>
      <c r="C30" s="43" t="n">
        <v>105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Turn Rod Imported</t>
        </is>
      </c>
      <c r="B31" s="47" t="inlineStr">
        <is>
          <t>China Make</t>
        </is>
      </c>
      <c r="C31" s="48" t="n">
        <v>110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Turn Rod Imported</t>
        </is>
      </c>
      <c r="B32" s="42" t="inlineStr">
        <is>
          <t>China Make</t>
        </is>
      </c>
      <c r="C32" s="43" t="n">
        <v>115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Turn Rod Imported</t>
        </is>
      </c>
      <c r="B33" s="47" t="inlineStr">
        <is>
          <t>China Make</t>
        </is>
      </c>
      <c r="C33" s="48" t="n">
        <v>120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Turn Rod Imported</t>
        </is>
      </c>
      <c r="B34" s="42" t="inlineStr">
        <is>
          <t>China Make</t>
        </is>
      </c>
      <c r="C34" s="43" t="n">
        <v>125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Turn Rod Imported</t>
        </is>
      </c>
      <c r="B35" s="47" t="inlineStr">
        <is>
          <t>China Make</t>
        </is>
      </c>
      <c r="C35" s="48" t="n">
        <v>130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Turn Rod Imported</t>
        </is>
      </c>
      <c r="B36" s="42" t="inlineStr">
        <is>
          <t>China Make</t>
        </is>
      </c>
      <c r="C36" s="43" t="n">
        <v>140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Turn Rod Imported</t>
        </is>
      </c>
      <c r="B37" s="47" t="inlineStr">
        <is>
          <t>China Make</t>
        </is>
      </c>
      <c r="C37" s="48" t="n">
        <v>150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Turn Rod Imported</t>
        </is>
      </c>
      <c r="B38" s="42" t="inlineStr">
        <is>
          <t>China Make</t>
        </is>
      </c>
      <c r="C38" s="43" t="n">
        <v>160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Turn Rod Imported</t>
        </is>
      </c>
      <c r="B39" s="47" t="inlineStr">
        <is>
          <t>China Make</t>
        </is>
      </c>
      <c r="C39" s="48" t="n">
        <v>170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Turn Rod Imported</t>
        </is>
      </c>
      <c r="B40" s="42" t="inlineStr">
        <is>
          <t>China Make</t>
        </is>
      </c>
      <c r="C40" s="43" t="n">
        <v>180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Turn Rod Imported</t>
        </is>
      </c>
      <c r="B41" s="47" t="inlineStr">
        <is>
          <t>China Make</t>
        </is>
      </c>
      <c r="C41" s="48" t="n">
        <v>200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Turn Rod Imported</t>
        </is>
      </c>
      <c r="B42" s="42" t="inlineStr">
        <is>
          <t>China Make</t>
        </is>
      </c>
      <c r="C42" s="43" t="n">
        <v>210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Turn Rod Imported</t>
        </is>
      </c>
      <c r="B43" s="47" t="inlineStr">
        <is>
          <t>China Make</t>
        </is>
      </c>
      <c r="C43" s="48" t="n">
        <v>220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Turn Rod Imported</t>
        </is>
      </c>
      <c r="B44" s="42" t="inlineStr">
        <is>
          <t>China Make</t>
        </is>
      </c>
      <c r="C44" s="43" t="n">
        <v>230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Turn Rod Imported</t>
        </is>
      </c>
      <c r="B45" s="47" t="inlineStr">
        <is>
          <t>China Make</t>
        </is>
      </c>
      <c r="C45" s="48" t="n">
        <v>240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Turn Rod Imported</t>
        </is>
      </c>
      <c r="B46" s="42" t="inlineStr">
        <is>
          <t>China Make</t>
        </is>
      </c>
      <c r="C46" s="43" t="n">
        <v>250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Turn Rod Imported</t>
        </is>
      </c>
      <c r="B47" s="47" t="inlineStr">
        <is>
          <t>China Make</t>
        </is>
      </c>
      <c r="C47" s="48" t="n">
        <v>260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Turn Rod Imported</t>
        </is>
      </c>
      <c r="B48" s="42" t="inlineStr">
        <is>
          <t>China Make</t>
        </is>
      </c>
      <c r="C48" s="43" t="n">
        <v>270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Turn Rod Imported</t>
        </is>
      </c>
      <c r="B49" s="47" t="inlineStr">
        <is>
          <t>China Make</t>
        </is>
      </c>
      <c r="C49" s="48" t="n">
        <v>280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Turn Rod Imported</t>
        </is>
      </c>
      <c r="B50" s="42" t="inlineStr">
        <is>
          <t>China Make</t>
        </is>
      </c>
      <c r="C50" s="43" t="n">
        <v>290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Turn Rod Imported</t>
        </is>
      </c>
      <c r="B51" s="47" t="inlineStr">
        <is>
          <t>China Make</t>
        </is>
      </c>
      <c r="C51" s="48" t="n">
        <v>300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Turn Rod Imported</t>
        </is>
      </c>
      <c r="B52" s="42" t="inlineStr">
        <is>
          <t>China Make</t>
        </is>
      </c>
      <c r="C52" s="43" t="n">
        <v>310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Turn Rod Imported</t>
        </is>
      </c>
      <c r="B53" s="47" t="inlineStr">
        <is>
          <t>China Make</t>
        </is>
      </c>
      <c r="C53" s="48" t="n">
        <v>320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Turn Rod Imported</t>
        </is>
      </c>
      <c r="B54" s="42" t="inlineStr">
        <is>
          <t>China Make</t>
        </is>
      </c>
      <c r="C54" s="43" t="n">
        <v>330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Turn Rod Imported</t>
        </is>
      </c>
      <c r="B55" s="47" t="inlineStr">
        <is>
          <t>China Make</t>
        </is>
      </c>
      <c r="C55" s="48" t="n">
        <v>340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Turn Rod Imported</t>
        </is>
      </c>
      <c r="B56" s="42" t="inlineStr">
        <is>
          <t>China Make</t>
        </is>
      </c>
      <c r="C56" s="43" t="n">
        <v>350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/>
      <c r="B57" s="47" t="inlineStr"/>
      <c r="C57" s="48">
        <f>IF($M$2&lt;&gt;"Round Bar","",IFERROR(INDEX(LET(cat,$C$8:$C$56,box,VSTACK($P$2,$L$7:$L$26),live,UNIQUE(FILTER(VSTACK(cat,box),VSTACK(cat,box)&lt;&gt;"")),FILTER(live,COUNTIF(cat,live)=0)),1),""))</f>
        <v/>
      </c>
      <c r="D57" s="49" t="n"/>
      <c r="E57" s="49">
        <f>$I$3</f>
        <v/>
      </c>
      <c r="F57" s="50">
        <f>IF(D57="","",D57+$I$3)</f>
        <v/>
      </c>
      <c r="G57" s="51" t="inlineStr">
        <is>
          <t>New size from Add Size — type a base price; selling uses $I$3</t>
        </is>
      </c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/>
      <c r="B58" s="42" t="inlineStr"/>
      <c r="C58" s="43">
        <f>IF($M$2&lt;&gt;"Round Bar","",IFERROR(INDEX(LET(cat,$C$8:$C$56,box,VSTACK($P$2,$L$7:$L$26),live,UNIQUE(FILTER(VSTACK(cat,box),VSTACK(cat,box)&lt;&gt;"")),FILTER(live,COUNTIF(cat,live)=0)),2),""))</f>
        <v/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/>
      <c r="B59" s="47" t="inlineStr"/>
      <c r="C59" s="48">
        <f>IF($M$2&lt;&gt;"Round Bar","",IFERROR(INDEX(LET(cat,$C$8:$C$56,box,VSTACK($P$2,$L$7:$L$26),live,UNIQUE(FILTER(VSTACK(cat,box),VSTACK(cat,box)&lt;&gt;"")),FILTER(live,COUNTIF(cat,live)=0)),3),""))</f>
        <v/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/>
      <c r="B60" s="42" t="inlineStr"/>
      <c r="C60" s="43">
        <f>IF($M$2&lt;&gt;"Round Bar","",IFERROR(INDEX(LET(cat,$C$8:$C$56,box,VSTACK($P$2,$L$7:$L$26),live,UNIQUE(FILTER(VSTACK(cat,box),VSTACK(cat,box)&lt;&gt;"")),FILTER(live,COUNTIF(cat,live)=0)),4),""))</f>
        <v/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/>
      <c r="B61" s="47" t="inlineStr"/>
      <c r="C61" s="48">
        <f>IF($M$2&lt;&gt;"Round Bar","",IFERROR(INDEX(LET(cat,$C$8:$C$56,box,VSTACK($P$2,$L$7:$L$26),live,UNIQUE(FILTER(VSTACK(cat,box),VSTACK(cat,box)&lt;&gt;"")),FILTER(live,COUNTIF(cat,live)=0)),5),""))</f>
        <v/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/>
      <c r="B62" s="42" t="inlineStr"/>
      <c r="C62" s="43">
        <f>IF($M$2&lt;&gt;"Round Bar","",IFERROR(INDEX(LET(cat,$C$8:$C$56,box,VSTACK($P$2,$L$7:$L$26),live,UNIQUE(FILTER(VSTACK(cat,box),VSTACK(cat,box)&lt;&gt;"")),FILTER(live,COUNTIF(cat,live)=0)),6),""))</f>
        <v/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/>
      <c r="B63" s="47" t="inlineStr"/>
      <c r="C63" s="48">
        <f>IF($M$2&lt;&gt;"Round Bar","",IFERROR(INDEX(LET(cat,$C$8:$C$56,box,VSTACK($P$2,$L$7:$L$26),live,UNIQUE(FILTER(VSTACK(cat,box),VSTACK(cat,box)&lt;&gt;"")),FILTER(live,COUNTIF(cat,live)=0)),7),""))</f>
        <v/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/>
      <c r="B64" s="42" t="inlineStr"/>
      <c r="C64" s="43">
        <f>IF($M$2&lt;&gt;"Round Bar","",IFERROR(INDEX(LET(cat,$C$8:$C$56,box,VSTACK($P$2,$L$7:$L$26),live,UNIQUE(FILTER(VSTACK(cat,box),VSTACK(cat,box)&lt;&gt;"")),FILTER(live,COUNTIF(cat,live)=0)),8),""))</f>
        <v/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/>
      <c r="B65" s="47" t="inlineStr"/>
      <c r="C65" s="48">
        <f>IF($M$2&lt;&gt;"Round Bar","",IFERROR(INDEX(LET(cat,$C$8:$C$56,box,VSTACK($P$2,$L$7:$L$26),live,UNIQUE(FILTER(VSTACK(cat,box),VSTACK(cat,box)&lt;&gt;"")),FILTER(live,COUNTIF(cat,live)=0)),9),""))</f>
        <v/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/>
      <c r="B66" s="42" t="inlineStr"/>
      <c r="C66" s="43">
        <f>IF($M$2&lt;&gt;"Round Bar","",IFERROR(INDEX(LET(cat,$C$8:$C$56,box,VSTACK($P$2,$L$7:$L$26),live,UNIQUE(FILTER(VSTACK(cat,box),VSTACK(cat,box)&lt;&gt;"")),FILTER(live,COUNTIF(cat,live)=0)),10),""))</f>
        <v/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/>
      <c r="B67" s="47" t="inlineStr"/>
      <c r="C67" s="48">
        <f>IF($M$2&lt;&gt;"Round Bar","",IFERROR(INDEX(LET(cat,$C$8:$C$56,box,VSTACK($P$2,$L$7:$L$26),live,UNIQUE(FILTER(VSTACK(cat,box),VSTACK(cat,box)&lt;&gt;"")),FILTER(live,COUNTIF(cat,live)=0)),11),""))</f>
        <v/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/>
      <c r="B68" s="42" t="inlineStr"/>
      <c r="C68" s="43">
        <f>IF($M$2&lt;&gt;"Round Bar","",IFERROR(INDEX(LET(cat,$C$8:$C$56,box,VSTACK($P$2,$L$7:$L$26),live,UNIQUE(FILTER(VSTACK(cat,box),VSTACK(cat,box)&lt;&gt;"")),FILTER(live,COUNTIF(cat,live)=0)),12),""))</f>
        <v/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/>
      <c r="B69" s="47" t="inlineStr"/>
      <c r="C69" s="48">
        <f>IF($M$2&lt;&gt;"Round Bar","",IFERROR(INDEX(LET(cat,$C$8:$C$56,box,VSTACK($P$2,$L$7:$L$26),live,UNIQUE(FILTER(VSTACK(cat,box),VSTACK(cat,box)&lt;&gt;"")),FILTER(live,COUNTIF(cat,live)=0)),13),""))</f>
        <v/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/>
      <c r="B70" s="42" t="inlineStr"/>
      <c r="C70" s="43">
        <f>IF($M$2&lt;&gt;"Round Bar","",IFERROR(INDEX(LET(cat,$C$8:$C$56,box,VSTACK($P$2,$L$7:$L$26),live,UNIQUE(FILTER(VSTACK(cat,box),VSTACK(cat,box)&lt;&gt;"")),FILTER(live,COUNTIF(cat,live)=0)),14),""))</f>
        <v/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IF($M$2&lt;&gt;"Round Bar","",IFERROR(INDEX(LET(cat,$C$8:$C$56,box,VSTACK($P$2,$L$7:$L$26),live,UNIQUE(FILTER(VSTACK(cat,box),VSTACK(cat,box)&lt;&gt;"")),FILTER(live,COUNTIF(cat,live)=0)),15),""))</f>
        <v/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IF($M$2&lt;&gt;"Round Bar","",IFERROR(INDEX(LET(cat,$C$8:$C$56,box,VSTACK($P$2,$L$7:$L$26),live,UNIQUE(FILTER(VSTACK(cat,box),VSTACK(cat,box)&lt;&gt;"")),FILTER(live,COUNTIF(cat,live)=0)),16),""))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IF($M$2&lt;&gt;"Round Bar","",IFERROR(INDEX(LET(cat,$C$8:$C$56,box,VSTACK($P$2,$L$7:$L$26),live,UNIQUE(FILTER(VSTACK(cat,box),VSTACK(cat,box)&lt;&gt;"")),FILTER(live,COUNTIF(cat,live)=0)),17),""))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IF($M$2&lt;&gt;"Round Bar","",IFERROR(INDEX(LET(cat,$C$8:$C$56,box,VSTACK($P$2,$L$7:$L$26),live,UNIQUE(FILTER(VSTACK(cat,box),VSTACK(cat,box)&lt;&gt;"")),FILTER(live,COUNTIF(cat,live)=0)),18),""))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IF($M$2&lt;&gt;"Round Bar","",IFERROR(INDEX(LET(cat,$C$8:$C$56,box,VSTACK($P$2,$L$7:$L$26),live,UNIQUE(FILTER(VSTACK(cat,box),VSTACK(cat,box)&lt;&gt;"")),FILTER(live,COUNTIF(cat,live)=0)),19),""))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IF($M$2&lt;&gt;"Round Bar","",IFERROR(INDEX(LET(cat,$C$8:$C$56,box,VSTACK($P$2,$L$7:$L$26),live,UNIQUE(FILTER(VSTACK(cat,box),VSTACK(cat,box)&lt;&gt;"")),FILTER(live,COUNTIF(cat,live)=0)),20),""))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 ht="22" customHeight="1">
      <c r="A78" s="38" t="inlineStr">
        <is>
          <t>SQUARE BAR</t>
        </is>
      </c>
      <c r="B78" s="38" t="n"/>
      <c r="C78" s="38" t="n"/>
      <c r="D78" s="38" t="n"/>
      <c r="E78" s="38" t="n"/>
      <c r="F78" s="38" t="n"/>
      <c r="G78" s="38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 ht="22" customHeight="1">
      <c r="A79" s="13" t="inlineStr">
        <is>
          <t>Sub-type</t>
        </is>
      </c>
      <c r="B79" s="13" t="inlineStr">
        <is>
          <t>Make / notes</t>
        </is>
      </c>
      <c r="C79" s="13" t="inlineStr">
        <is>
          <t>Size (mm)</t>
        </is>
      </c>
      <c r="D79" s="13" t="inlineStr">
        <is>
          <t>Base Price (Rs/kg)</t>
        </is>
      </c>
      <c r="E79" s="13" t="inlineStr">
        <is>
          <t>Daily Adj</t>
        </is>
      </c>
      <c r="F79" s="13" t="inlineStr">
        <is>
          <t>Selling Price (Rs/kg)</t>
        </is>
      </c>
      <c r="G79" s="13" t="inlineStr">
        <is>
          <t>Notes</t>
        </is>
      </c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>
        <is>
          <t>Square Bar</t>
        </is>
      </c>
      <c r="B80" s="42" t="inlineStr">
        <is>
          <t>Super Forge Steel Make</t>
        </is>
      </c>
      <c r="C80" s="43" t="n">
        <v>16</v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>
        <is>
          <t>Square Bar</t>
        </is>
      </c>
      <c r="B81" s="47" t="inlineStr">
        <is>
          <t>Super Forge Steel Make</t>
        </is>
      </c>
      <c r="C81" s="48" t="n">
        <v>20</v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>
        <is>
          <t>Square Bar</t>
        </is>
      </c>
      <c r="B82" s="42" t="inlineStr">
        <is>
          <t>Super Forge Steel Make</t>
        </is>
      </c>
      <c r="C82" s="43" t="n">
        <v>22</v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>
        <is>
          <t>Square Bar</t>
        </is>
      </c>
      <c r="B83" s="47" t="inlineStr">
        <is>
          <t>Super Forge Steel Make</t>
        </is>
      </c>
      <c r="C83" s="48" t="n">
        <v>26</v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>
        <is>
          <t>Square Bar</t>
        </is>
      </c>
      <c r="B84" s="42" t="inlineStr">
        <is>
          <t>Super Forge Steel Make</t>
        </is>
      </c>
      <c r="C84" s="43" t="n">
        <v>28</v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>
        <is>
          <t>Square Bar</t>
        </is>
      </c>
      <c r="B85" s="47" t="inlineStr">
        <is>
          <t>Super Forge Steel Make</t>
        </is>
      </c>
      <c r="C85" s="48" t="n">
        <v>32</v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>
        <is>
          <t>Square Bar</t>
        </is>
      </c>
      <c r="B86" s="42" t="inlineStr">
        <is>
          <t>Super Forge Steel Make</t>
        </is>
      </c>
      <c r="C86" s="43" t="n">
        <v>36</v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>
        <is>
          <t>Square Bar</t>
        </is>
      </c>
      <c r="B87" s="47" t="inlineStr">
        <is>
          <t>Super Forge Steel Make</t>
        </is>
      </c>
      <c r="C87" s="48" t="n">
        <v>40</v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>
        <is>
          <t>Square Bar</t>
        </is>
      </c>
      <c r="B88" s="42" t="inlineStr">
        <is>
          <t>Super Forge Steel Make</t>
        </is>
      </c>
      <c r="C88" s="43" t="n">
        <v>45</v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0" t="inlineStr">
        <is>
          <t>Square Bar</t>
        </is>
      </c>
      <c r="B89" s="47" t="inlineStr">
        <is>
          <t>Super Forge Steel Make</t>
        </is>
      </c>
      <c r="C89" s="48" t="n">
        <v>50</v>
      </c>
      <c r="D89" s="49" t="n"/>
      <c r="E89" s="49">
        <f>$I$3</f>
        <v/>
      </c>
      <c r="F89" s="50">
        <f>IF(D89="","",D89+$I$3)</f>
        <v/>
      </c>
      <c r="G89" s="47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6" t="inlineStr">
        <is>
          <t>Square Bar</t>
        </is>
      </c>
      <c r="B90" s="42" t="inlineStr">
        <is>
          <t>Super Forge Steel Make</t>
        </is>
      </c>
      <c r="C90" s="43" t="n">
        <v>56</v>
      </c>
      <c r="D90" s="44" t="n"/>
      <c r="E90" s="44">
        <f>$I$3</f>
        <v/>
      </c>
      <c r="F90" s="45">
        <f>IF(D90="","",D90+$I$3)</f>
        <v/>
      </c>
      <c r="G90" s="42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0" t="inlineStr">
        <is>
          <t>Square Bar</t>
        </is>
      </c>
      <c r="B91" s="47" t="inlineStr">
        <is>
          <t>Super Forge Steel Make</t>
        </is>
      </c>
      <c r="C91" s="48" t="n">
        <v>60</v>
      </c>
      <c r="D91" s="49" t="n"/>
      <c r="E91" s="49">
        <f>$I$3</f>
        <v/>
      </c>
      <c r="F91" s="50">
        <f>IF(D91="","",D91+$I$3)</f>
        <v/>
      </c>
      <c r="G91" s="47" t="inlineStr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16" t="inlineStr">
        <is>
          <t>Square Bar</t>
        </is>
      </c>
      <c r="B92" s="42" t="inlineStr">
        <is>
          <t>Super Forge Steel Make</t>
        </is>
      </c>
      <c r="C92" s="43" t="n">
        <v>65</v>
      </c>
      <c r="D92" s="44" t="n"/>
      <c r="E92" s="44">
        <f>$I$3</f>
        <v/>
      </c>
      <c r="F92" s="45">
        <f>IF(D92="","",D92+$I$3)</f>
        <v/>
      </c>
      <c r="G92" s="42" t="inlineStr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0" t="inlineStr">
        <is>
          <t>Square Bar</t>
        </is>
      </c>
      <c r="B93" s="47" t="inlineStr">
        <is>
          <t>Super Forge Steel Make</t>
        </is>
      </c>
      <c r="C93" s="48" t="n">
        <v>80</v>
      </c>
      <c r="D93" s="49" t="n"/>
      <c r="E93" s="49">
        <f>$I$3</f>
        <v/>
      </c>
      <c r="F93" s="50">
        <f>IF(D93="","",D93+$I$3)</f>
        <v/>
      </c>
      <c r="G93" s="47" t="inlineStr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6" t="inlineStr">
        <is>
          <t>Square Bar</t>
        </is>
      </c>
      <c r="B94" s="42" t="inlineStr">
        <is>
          <t>Super Forge Steel Make</t>
        </is>
      </c>
      <c r="C94" s="43" t="n">
        <v>105</v>
      </c>
      <c r="D94" s="44" t="n"/>
      <c r="E94" s="44">
        <f>$I$3</f>
        <v/>
      </c>
      <c r="F94" s="45">
        <f>IF(D94="","",D94+$I$3)</f>
        <v/>
      </c>
      <c r="G94" s="42" t="inlineStr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0" t="inlineStr">
        <is>
          <t>Square Bar</t>
        </is>
      </c>
      <c r="B95" s="47" t="inlineStr">
        <is>
          <t>Super Forge Steel Make</t>
        </is>
      </c>
      <c r="C95" s="48" t="n">
        <v>125</v>
      </c>
      <c r="D95" s="49" t="n"/>
      <c r="E95" s="49">
        <f>$I$3</f>
        <v/>
      </c>
      <c r="F95" s="50">
        <f>IF(D95="","",D95+$I$3)</f>
        <v/>
      </c>
      <c r="G95" s="47" t="inlineStr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6" t="inlineStr">
        <is>
          <t>Square Bar</t>
        </is>
      </c>
      <c r="B96" s="42" t="inlineStr">
        <is>
          <t>Super Forge Steel Make</t>
        </is>
      </c>
      <c r="C96" s="43" t="n">
        <v>130</v>
      </c>
      <c r="D96" s="44" t="n"/>
      <c r="E96" s="44">
        <f>$I$3</f>
        <v/>
      </c>
      <c r="F96" s="45">
        <f>IF(D96="","",D96+$I$3)</f>
        <v/>
      </c>
      <c r="G96" s="42" t="inlineStr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0" t="inlineStr">
        <is>
          <t>Square Bar</t>
        </is>
      </c>
      <c r="B97" s="47" t="inlineStr">
        <is>
          <t>Super Forge Steel Make</t>
        </is>
      </c>
      <c r="C97" s="48" t="n">
        <v>155</v>
      </c>
      <c r="D97" s="49" t="n"/>
      <c r="E97" s="49">
        <f>$I$3</f>
        <v/>
      </c>
      <c r="F97" s="50">
        <f>IF(D97="","",D97+$I$3)</f>
        <v/>
      </c>
      <c r="G97" s="47" t="inlineStr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6" t="inlineStr"/>
      <c r="B98" s="42" t="inlineStr"/>
      <c r="C98" s="43">
        <f>IF($M$2&lt;&gt;"Square Bar","",IFERROR(INDEX(LET(cat,$C$80:$C$97,box,VSTACK($P$2,$L$7:$L$26),live,UNIQUE(FILTER(VSTACK(cat,box),VSTACK(cat,box)&lt;&gt;"")),FILTER(live,COUNTIF(cat,live)=0)),1),""))</f>
        <v/>
      </c>
      <c r="D98" s="44" t="n"/>
      <c r="E98" s="44">
        <f>$I$3</f>
        <v/>
      </c>
      <c r="F98" s="45">
        <f>IF(D98="","",D98+$I$3)</f>
        <v/>
      </c>
      <c r="G98" s="46" t="inlineStr">
        <is>
          <t>New size from Add Size — type a base price; selling uses $I$3</t>
        </is>
      </c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0" t="inlineStr"/>
      <c r="B99" s="47" t="inlineStr"/>
      <c r="C99" s="48">
        <f>IF($M$2&lt;&gt;"Square Bar","",IFERROR(INDEX(LET(cat,$C$80:$C$97,box,VSTACK($P$2,$L$7:$L$26),live,UNIQUE(FILTER(VSTACK(cat,box),VSTACK(cat,box)&lt;&gt;"")),FILTER(live,COUNTIF(cat,live)=0)),2),""))</f>
        <v/>
      </c>
      <c r="D99" s="49" t="n"/>
      <c r="E99" s="49">
        <f>$I$3</f>
        <v/>
      </c>
      <c r="F99" s="50">
        <f>IF(D99="","",D99+$I$3)</f>
        <v/>
      </c>
      <c r="G99" s="47" t="inlineStr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16" t="inlineStr"/>
      <c r="B100" s="42" t="inlineStr"/>
      <c r="C100" s="43">
        <f>IF($M$2&lt;&gt;"Square Bar","",IFERROR(INDEX(LET(cat,$C$80:$C$97,box,VSTACK($P$2,$L$7:$L$26),live,UNIQUE(FILTER(VSTACK(cat,box),VSTACK(cat,box)&lt;&gt;"")),FILTER(live,COUNTIF(cat,live)=0)),3),""))</f>
        <v/>
      </c>
      <c r="D100" s="44" t="n"/>
      <c r="E100" s="44">
        <f>$I$3</f>
        <v/>
      </c>
      <c r="F100" s="45">
        <f>IF(D100="","",D100+$I$3)</f>
        <v/>
      </c>
      <c r="G100" s="42" t="inlineStr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0" t="inlineStr"/>
      <c r="B101" s="47" t="inlineStr"/>
      <c r="C101" s="48">
        <f>IF($M$2&lt;&gt;"Square Bar","",IFERROR(INDEX(LET(cat,$C$80:$C$97,box,VSTACK($P$2,$L$7:$L$26),live,UNIQUE(FILTER(VSTACK(cat,box),VSTACK(cat,box)&lt;&gt;"")),FILTER(live,COUNTIF(cat,live)=0)),4),""))</f>
        <v/>
      </c>
      <c r="D101" s="49" t="n"/>
      <c r="E101" s="49">
        <f>$I$3</f>
        <v/>
      </c>
      <c r="F101" s="50">
        <f>IF(D101="","",D101+$I$3)</f>
        <v/>
      </c>
      <c r="G101" s="47" t="inlineStr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16" t="inlineStr"/>
      <c r="B102" s="42" t="inlineStr"/>
      <c r="C102" s="43">
        <f>IF($M$2&lt;&gt;"Square Bar","",IFERROR(INDEX(LET(cat,$C$80:$C$97,box,VSTACK($P$2,$L$7:$L$26),live,UNIQUE(FILTER(VSTACK(cat,box),VSTACK(cat,box)&lt;&gt;"")),FILTER(live,COUNTIF(cat,live)=0)),5),""))</f>
        <v/>
      </c>
      <c r="D102" s="44" t="n"/>
      <c r="E102" s="44">
        <f>$I$3</f>
        <v/>
      </c>
      <c r="F102" s="45">
        <f>IF(D102="","",D102+$I$3)</f>
        <v/>
      </c>
      <c r="G102" s="42" t="inlineStr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0" t="inlineStr"/>
      <c r="B103" s="47" t="inlineStr"/>
      <c r="C103" s="48">
        <f>IF($M$2&lt;&gt;"Square Bar","",IFERROR(INDEX(LET(cat,$C$80:$C$97,box,VSTACK($P$2,$L$7:$L$26),live,UNIQUE(FILTER(VSTACK(cat,box),VSTACK(cat,box)&lt;&gt;"")),FILTER(live,COUNTIF(cat,live)=0)),6),""))</f>
        <v/>
      </c>
      <c r="D103" s="49" t="n"/>
      <c r="E103" s="49">
        <f>$I$3</f>
        <v/>
      </c>
      <c r="F103" s="50">
        <f>IF(D103="","",D103+$I$3)</f>
        <v/>
      </c>
      <c r="G103" s="47" t="inlineStr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16" t="inlineStr"/>
      <c r="B104" s="42" t="inlineStr"/>
      <c r="C104" s="43">
        <f>IF($M$2&lt;&gt;"Square Bar","",IFERROR(INDEX(LET(cat,$C$80:$C$97,box,VSTACK($P$2,$L$7:$L$26),live,UNIQUE(FILTER(VSTACK(cat,box),VSTACK(cat,box)&lt;&gt;"")),FILTER(live,COUNTIF(cat,live)=0)),7),""))</f>
        <v/>
      </c>
      <c r="D104" s="44" t="n"/>
      <c r="E104" s="44">
        <f>$I$3</f>
        <v/>
      </c>
      <c r="F104" s="45">
        <f>IF(D104="","",D104+$I$3)</f>
        <v/>
      </c>
      <c r="G104" s="42" t="inlineStr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0" t="inlineStr"/>
      <c r="B105" s="47" t="inlineStr"/>
      <c r="C105" s="48">
        <f>IF($M$2&lt;&gt;"Square Bar","",IFERROR(INDEX(LET(cat,$C$80:$C$97,box,VSTACK($P$2,$L$7:$L$26),live,UNIQUE(FILTER(VSTACK(cat,box),VSTACK(cat,box)&lt;&gt;"")),FILTER(live,COUNTIF(cat,live)=0)),8),""))</f>
        <v/>
      </c>
      <c r="D105" s="49" t="n"/>
      <c r="E105" s="49">
        <f>$I$3</f>
        <v/>
      </c>
      <c r="F105" s="50">
        <f>IF(D105="","",D105+$I$3)</f>
        <v/>
      </c>
      <c r="G105" s="47" t="inlineStr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16" t="inlineStr"/>
      <c r="B106" s="42" t="inlineStr"/>
      <c r="C106" s="43">
        <f>IF($M$2&lt;&gt;"Square Bar","",IFERROR(INDEX(LET(cat,$C$80:$C$97,box,VSTACK($P$2,$L$7:$L$26),live,UNIQUE(FILTER(VSTACK(cat,box),VSTACK(cat,box)&lt;&gt;"")),FILTER(live,COUNTIF(cat,live)=0)),9),""))</f>
        <v/>
      </c>
      <c r="D106" s="44" t="n"/>
      <c r="E106" s="44">
        <f>$I$3</f>
        <v/>
      </c>
      <c r="F106" s="45">
        <f>IF(D106="","",D106+$I$3)</f>
        <v/>
      </c>
      <c r="G106" s="42" t="inlineStr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/>
      <c r="B107" s="47" t="inlineStr"/>
      <c r="C107" s="48">
        <f>IF($M$2&lt;&gt;"Square Bar","",IFERROR(INDEX(LET(cat,$C$80:$C$97,box,VSTACK($P$2,$L$7:$L$26),live,UNIQUE(FILTER(VSTACK(cat,box),VSTACK(cat,box)&lt;&gt;"")),FILTER(live,COUNTIF(cat,live)=0)),10),""))</f>
        <v/>
      </c>
      <c r="D107" s="49" t="n"/>
      <c r="E107" s="49">
        <f>$I$3</f>
        <v/>
      </c>
      <c r="F107" s="50">
        <f>IF(D107="","",D107+$I$3)</f>
        <v/>
      </c>
      <c r="G107" s="47" t="inlineStr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16" t="inlineStr"/>
      <c r="B108" s="42" t="inlineStr"/>
      <c r="C108" s="43">
        <f>IF($M$2&lt;&gt;"Square Bar","",IFERROR(INDEX(LET(cat,$C$80:$C$97,box,VSTACK($P$2,$L$7:$L$26),live,UNIQUE(FILTER(VSTACK(cat,box),VSTACK(cat,box)&lt;&gt;"")),FILTER(live,COUNTIF(cat,live)=0)),11),""))</f>
        <v/>
      </c>
      <c r="D108" s="44" t="n"/>
      <c r="E108" s="44">
        <f>$I$3</f>
        <v/>
      </c>
      <c r="F108" s="45">
        <f>IF(D108="","",D108+$I$3)</f>
        <v/>
      </c>
      <c r="G108" s="42" t="inlineStr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0" t="inlineStr"/>
      <c r="B109" s="47" t="inlineStr"/>
      <c r="C109" s="48">
        <f>IF($M$2&lt;&gt;"Square Bar","",IFERROR(INDEX(LET(cat,$C$80:$C$97,box,VSTACK($P$2,$L$7:$L$26),live,UNIQUE(FILTER(VSTACK(cat,box),VSTACK(cat,box)&lt;&gt;"")),FILTER(live,COUNTIF(cat,live)=0)),12),""))</f>
        <v/>
      </c>
      <c r="D109" s="49" t="n"/>
      <c r="E109" s="49">
        <f>$I$3</f>
        <v/>
      </c>
      <c r="F109" s="50">
        <f>IF(D109="","",D109+$I$3)</f>
        <v/>
      </c>
      <c r="G109" s="47" t="inlineStr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16" t="inlineStr"/>
      <c r="B110" s="42" t="inlineStr"/>
      <c r="C110" s="43">
        <f>IF($M$2&lt;&gt;"Square Bar","",IFERROR(INDEX(LET(cat,$C$80:$C$97,box,VSTACK($P$2,$L$7:$L$26),live,UNIQUE(FILTER(VSTACK(cat,box),VSTACK(cat,box)&lt;&gt;"")),FILTER(live,COUNTIF(cat,live)=0)),13),""))</f>
        <v/>
      </c>
      <c r="D110" s="44" t="n"/>
      <c r="E110" s="44">
        <f>$I$3</f>
        <v/>
      </c>
      <c r="F110" s="45">
        <f>IF(D110="","",D110+$I$3)</f>
        <v/>
      </c>
      <c r="G110" s="42" t="inlineStr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0" t="inlineStr"/>
      <c r="B111" s="47" t="inlineStr"/>
      <c r="C111" s="48">
        <f>IF($M$2&lt;&gt;"Square Bar","",IFERROR(INDEX(LET(cat,$C$80:$C$97,box,VSTACK($P$2,$L$7:$L$26),live,UNIQUE(FILTER(VSTACK(cat,box),VSTACK(cat,box)&lt;&gt;"")),FILTER(live,COUNTIF(cat,live)=0)),14),""))</f>
        <v/>
      </c>
      <c r="D111" s="49" t="n"/>
      <c r="E111" s="49">
        <f>$I$3</f>
        <v/>
      </c>
      <c r="F111" s="50">
        <f>IF(D111="","",D111+$I$3)</f>
        <v/>
      </c>
      <c r="G111" s="47" t="inlineStr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16" t="inlineStr"/>
      <c r="B112" s="42" t="inlineStr"/>
      <c r="C112" s="43">
        <f>IF($M$2&lt;&gt;"Square Bar","",IFERROR(INDEX(LET(cat,$C$80:$C$97,box,VSTACK($P$2,$L$7:$L$26),live,UNIQUE(FILTER(VSTACK(cat,box),VSTACK(cat,box)&lt;&gt;"")),FILTER(live,COUNTIF(cat,live)=0)),15),""))</f>
        <v/>
      </c>
      <c r="D112" s="44" t="n"/>
      <c r="E112" s="44">
        <f>$I$3</f>
        <v/>
      </c>
      <c r="F112" s="45">
        <f>IF(D112="","",D112+$I$3)</f>
        <v/>
      </c>
      <c r="G112" s="42" t="inlineStr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0" t="inlineStr"/>
      <c r="B113" s="47" t="inlineStr"/>
      <c r="C113" s="48">
        <f>IF($M$2&lt;&gt;"Square Bar","",IFERROR(INDEX(LET(cat,$C$80:$C$97,box,VSTACK($P$2,$L$7:$L$26),live,UNIQUE(FILTER(VSTACK(cat,box),VSTACK(cat,box)&lt;&gt;"")),FILTER(live,COUNTIF(cat,live)=0)),16),""))</f>
        <v/>
      </c>
      <c r="D113" s="49" t="n"/>
      <c r="E113" s="49">
        <f>$I$3</f>
        <v/>
      </c>
      <c r="F113" s="50">
        <f>IF(D113="","",D113+$I$3)</f>
        <v/>
      </c>
      <c r="G113" s="47" t="inlineStr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16" t="inlineStr"/>
      <c r="B114" s="42" t="inlineStr"/>
      <c r="C114" s="43">
        <f>IF($M$2&lt;&gt;"Square Bar","",IFERROR(INDEX(LET(cat,$C$80:$C$97,box,VSTACK($P$2,$L$7:$L$26),live,UNIQUE(FILTER(VSTACK(cat,box),VSTACK(cat,box)&lt;&gt;"")),FILTER(live,COUNTIF(cat,live)=0)),17),""))</f>
        <v/>
      </c>
      <c r="D114" s="44" t="n"/>
      <c r="E114" s="44">
        <f>$I$3</f>
        <v/>
      </c>
      <c r="F114" s="45">
        <f>IF(D114="","",D114+$I$3)</f>
        <v/>
      </c>
      <c r="G114" s="42" t="inlineStr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0" t="inlineStr"/>
      <c r="B115" s="47" t="inlineStr"/>
      <c r="C115" s="48">
        <f>IF($M$2&lt;&gt;"Square Bar","",IFERROR(INDEX(LET(cat,$C$80:$C$97,box,VSTACK($P$2,$L$7:$L$26),live,UNIQUE(FILTER(VSTACK(cat,box),VSTACK(cat,box)&lt;&gt;"")),FILTER(live,COUNTIF(cat,live)=0)),18),""))</f>
        <v/>
      </c>
      <c r="D115" s="49" t="n"/>
      <c r="E115" s="49">
        <f>$I$3</f>
        <v/>
      </c>
      <c r="F115" s="50">
        <f>IF(D115="","",D115+$I$3)</f>
        <v/>
      </c>
      <c r="G115" s="47" t="inlineStr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16" t="inlineStr"/>
      <c r="B116" s="42" t="inlineStr"/>
      <c r="C116" s="43">
        <f>IF($M$2&lt;&gt;"Square Bar","",IFERROR(INDEX(LET(cat,$C$80:$C$97,box,VSTACK($P$2,$L$7:$L$26),live,UNIQUE(FILTER(VSTACK(cat,box),VSTACK(cat,box)&lt;&gt;"")),FILTER(live,COUNTIF(cat,live)=0)),19),""))</f>
        <v/>
      </c>
      <c r="D116" s="44" t="n"/>
      <c r="E116" s="44">
        <f>$I$3</f>
        <v/>
      </c>
      <c r="F116" s="45">
        <f>IF(D116="","",D116+$I$3)</f>
        <v/>
      </c>
      <c r="G116" s="42" t="inlineStr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0" t="inlineStr"/>
      <c r="B117" s="47" t="inlineStr"/>
      <c r="C117" s="48">
        <f>IF($M$2&lt;&gt;"Square Bar","",IFERROR(INDEX(LET(cat,$C$80:$C$97,box,VSTACK($P$2,$L$7:$L$26),live,UNIQUE(FILTER(VSTACK(cat,box),VSTACK(cat,box)&lt;&gt;"")),FILTER(live,COUNTIF(cat,live)=0)),20),""))</f>
        <v/>
      </c>
      <c r="D117" s="49" t="n"/>
      <c r="E117" s="49">
        <f>$I$3</f>
        <v/>
      </c>
      <c r="F117" s="50">
        <f>IF(D117="","",D117+$I$3)</f>
        <v/>
      </c>
      <c r="G117" s="47" t="inlineStr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 ht="22" customHeight="1">
      <c r="A119" s="38" t="inlineStr">
        <is>
          <t>FLAT BAR</t>
        </is>
      </c>
      <c r="B119" s="38" t="n"/>
      <c r="C119" s="38" t="n"/>
      <c r="D119" s="38" t="n"/>
      <c r="E119" s="38" t="n"/>
      <c r="F119" s="38" t="n"/>
      <c r="G119" s="38" t="n"/>
      <c r="H119" s="38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 ht="22" customHeight="1">
      <c r="A120" s="13" t="inlineStr">
        <is>
          <t>Sub-type</t>
        </is>
      </c>
      <c r="B120" s="13" t="inlineStr">
        <is>
          <t>Make / notes</t>
        </is>
      </c>
      <c r="C120" s="13" t="inlineStr">
        <is>
          <t>Thickness (mm)</t>
        </is>
      </c>
      <c r="D120" s="13" t="inlineStr">
        <is>
          <t>Width (mm)</t>
        </is>
      </c>
      <c r="E120" s="13" t="inlineStr">
        <is>
          <t>Size</t>
        </is>
      </c>
      <c r="F120" s="13" t="inlineStr">
        <is>
          <t>Base Price (Rs/kg)</t>
        </is>
      </c>
      <c r="G120" s="13" t="inlineStr">
        <is>
          <t>Daily Adj</t>
        </is>
      </c>
      <c r="H120" s="13" t="inlineStr">
        <is>
          <t>Selling Price (Rs/kg)</t>
        </is>
      </c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0" t="inlineStr">
        <is>
          <t>Rolled - Super Forge</t>
        </is>
      </c>
      <c r="B121" s="47" t="inlineStr"/>
      <c r="C121" s="18" t="n">
        <v>6</v>
      </c>
      <c r="D121" s="18" t="n">
        <v>25</v>
      </c>
      <c r="E121" s="48" t="inlineStr">
        <is>
          <t>6x25</t>
        </is>
      </c>
      <c r="F121" s="49" t="n"/>
      <c r="G121" s="49">
        <f>$I$3</f>
        <v/>
      </c>
      <c r="H121" s="50">
        <f>IF(F121="","",F121+$I$3)</f>
        <v/>
      </c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16" t="inlineStr">
        <is>
          <t>Rolled - Super Forge</t>
        </is>
      </c>
      <c r="B122" s="42" t="inlineStr"/>
      <c r="C122" s="14" t="n">
        <v>6</v>
      </c>
      <c r="D122" s="14" t="n">
        <v>32</v>
      </c>
      <c r="E122" s="43" t="inlineStr">
        <is>
          <t>6x32</t>
        </is>
      </c>
      <c r="F122" s="44" t="n"/>
      <c r="G122" s="44">
        <f>$I$3</f>
        <v/>
      </c>
      <c r="H122" s="45">
        <f>IF(F122="","",F122+$I$3)</f>
        <v/>
      </c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0" t="inlineStr">
        <is>
          <t>Rolled - Super Forge</t>
        </is>
      </c>
      <c r="B123" s="47" t="inlineStr"/>
      <c r="C123" s="18" t="n">
        <v>6</v>
      </c>
      <c r="D123" s="18" t="n">
        <v>40</v>
      </c>
      <c r="E123" s="48" t="inlineStr">
        <is>
          <t>6x40</t>
        </is>
      </c>
      <c r="F123" s="49" t="n"/>
      <c r="G123" s="49">
        <f>$I$3</f>
        <v/>
      </c>
      <c r="H123" s="50">
        <f>IF(F123="","",F123+$I$3)</f>
        <v/>
      </c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16" t="inlineStr">
        <is>
          <t>Rolled - Super Forge</t>
        </is>
      </c>
      <c r="B124" s="42" t="inlineStr"/>
      <c r="C124" s="14" t="n">
        <v>6</v>
      </c>
      <c r="D124" s="14" t="n">
        <v>50</v>
      </c>
      <c r="E124" s="43" t="inlineStr">
        <is>
          <t>6x50</t>
        </is>
      </c>
      <c r="F124" s="44" t="n"/>
      <c r="G124" s="44">
        <f>$I$3</f>
        <v/>
      </c>
      <c r="H124" s="45">
        <f>IF(F124="","",F124+$I$3)</f>
        <v/>
      </c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0" t="inlineStr">
        <is>
          <t>Rolled - Super Forge</t>
        </is>
      </c>
      <c r="B125" s="47" t="inlineStr"/>
      <c r="C125" s="18" t="n">
        <v>6</v>
      </c>
      <c r="D125" s="18" t="n">
        <v>65</v>
      </c>
      <c r="E125" s="48" t="inlineStr">
        <is>
          <t>6x65</t>
        </is>
      </c>
      <c r="F125" s="49" t="n"/>
      <c r="G125" s="49">
        <f>$I$3</f>
        <v/>
      </c>
      <c r="H125" s="50">
        <f>IF(F125="","",F125+$I$3)</f>
        <v/>
      </c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16" t="inlineStr">
        <is>
          <t>Rolled - Super Forge</t>
        </is>
      </c>
      <c r="B126" s="42" t="inlineStr"/>
      <c r="C126" s="14" t="n">
        <v>6</v>
      </c>
      <c r="D126" s="14" t="n">
        <v>80</v>
      </c>
      <c r="E126" s="43" t="inlineStr">
        <is>
          <t>6x80</t>
        </is>
      </c>
      <c r="F126" s="44" t="n"/>
      <c r="G126" s="44">
        <f>$I$3</f>
        <v/>
      </c>
      <c r="H126" s="45">
        <f>IF(F126="","",F126+$I$3)</f>
        <v/>
      </c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0" t="inlineStr">
        <is>
          <t>Rolled - Super Forge</t>
        </is>
      </c>
      <c r="B127" s="47" t="inlineStr"/>
      <c r="C127" s="18" t="n">
        <v>6</v>
      </c>
      <c r="D127" s="18" t="n">
        <v>105</v>
      </c>
      <c r="E127" s="48" t="inlineStr">
        <is>
          <t>6x105</t>
        </is>
      </c>
      <c r="F127" s="49" t="n"/>
      <c r="G127" s="49">
        <f>$I$3</f>
        <v/>
      </c>
      <c r="H127" s="50">
        <f>IF(F127="","",F127+$I$3)</f>
        <v/>
      </c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16" t="inlineStr">
        <is>
          <t>Rolled - Super Forge</t>
        </is>
      </c>
      <c r="B128" s="42" t="inlineStr"/>
      <c r="C128" s="14" t="n">
        <v>10</v>
      </c>
      <c r="D128" s="14" t="n">
        <v>25</v>
      </c>
      <c r="E128" s="43" t="inlineStr">
        <is>
          <t>10x25</t>
        </is>
      </c>
      <c r="F128" s="44" t="n"/>
      <c r="G128" s="44">
        <f>$I$3</f>
        <v/>
      </c>
      <c r="H128" s="45">
        <f>IF(F128="","",F128+$I$3)</f>
        <v/>
      </c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0" t="inlineStr">
        <is>
          <t>Rolled - Super Forge</t>
        </is>
      </c>
      <c r="B129" s="47" t="inlineStr"/>
      <c r="C129" s="18" t="n">
        <v>10</v>
      </c>
      <c r="D129" s="18" t="n">
        <v>32</v>
      </c>
      <c r="E129" s="48" t="inlineStr">
        <is>
          <t>10x32</t>
        </is>
      </c>
      <c r="F129" s="49" t="n"/>
      <c r="G129" s="49">
        <f>$I$3</f>
        <v/>
      </c>
      <c r="H129" s="50">
        <f>IF(F129="","",F129+$I$3)</f>
        <v/>
      </c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16" t="inlineStr">
        <is>
          <t>Rolled - Super Forge</t>
        </is>
      </c>
      <c r="B130" s="42" t="inlineStr"/>
      <c r="C130" s="14" t="n">
        <v>10</v>
      </c>
      <c r="D130" s="14" t="n">
        <v>40</v>
      </c>
      <c r="E130" s="43" t="inlineStr">
        <is>
          <t>10x40</t>
        </is>
      </c>
      <c r="F130" s="44" t="n"/>
      <c r="G130" s="44">
        <f>$I$3</f>
        <v/>
      </c>
      <c r="H130" s="45">
        <f>IF(F130="","",F130+$I$3)</f>
        <v/>
      </c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0" t="inlineStr">
        <is>
          <t>Rolled - Super Forge</t>
        </is>
      </c>
      <c r="B131" s="47" t="inlineStr"/>
      <c r="C131" s="18" t="n">
        <v>10</v>
      </c>
      <c r="D131" s="18" t="n">
        <v>50</v>
      </c>
      <c r="E131" s="48" t="inlineStr">
        <is>
          <t>10x50</t>
        </is>
      </c>
      <c r="F131" s="49" t="n"/>
      <c r="G131" s="49">
        <f>$I$3</f>
        <v/>
      </c>
      <c r="H131" s="50">
        <f>IF(F131="","",F131+$I$3)</f>
        <v/>
      </c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16" t="inlineStr">
        <is>
          <t>Rolled - Super Forge</t>
        </is>
      </c>
      <c r="B132" s="42" t="inlineStr"/>
      <c r="C132" s="14" t="n">
        <v>10</v>
      </c>
      <c r="D132" s="14" t="n">
        <v>65</v>
      </c>
      <c r="E132" s="43" t="inlineStr">
        <is>
          <t>10x65</t>
        </is>
      </c>
      <c r="F132" s="44" t="n"/>
      <c r="G132" s="44">
        <f>$I$3</f>
        <v/>
      </c>
      <c r="H132" s="45">
        <f>IF(F132="","",F132+$I$3)</f>
        <v/>
      </c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0" t="inlineStr">
        <is>
          <t>Rolled - Super Forge</t>
        </is>
      </c>
      <c r="B133" s="47" t="inlineStr"/>
      <c r="C133" s="18" t="n">
        <v>10</v>
      </c>
      <c r="D133" s="18" t="n">
        <v>80</v>
      </c>
      <c r="E133" s="48" t="inlineStr">
        <is>
          <t>10x80</t>
        </is>
      </c>
      <c r="F133" s="49" t="n"/>
      <c r="G133" s="49">
        <f>$I$3</f>
        <v/>
      </c>
      <c r="H133" s="50">
        <f>IF(F133="","",F133+$I$3)</f>
        <v/>
      </c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16" t="inlineStr">
        <is>
          <t>Rolled - Super Forge</t>
        </is>
      </c>
      <c r="B134" s="42" t="inlineStr"/>
      <c r="C134" s="14" t="n">
        <v>10</v>
      </c>
      <c r="D134" s="14" t="n">
        <v>105</v>
      </c>
      <c r="E134" s="43" t="inlineStr">
        <is>
          <t>10x105</t>
        </is>
      </c>
      <c r="F134" s="44" t="n"/>
      <c r="G134" s="44">
        <f>$I$3</f>
        <v/>
      </c>
      <c r="H134" s="45">
        <f>IF(F134="","",F134+$I$3)</f>
        <v/>
      </c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0" t="inlineStr">
        <is>
          <t>Rolled - Super Forge</t>
        </is>
      </c>
      <c r="B135" s="47" t="inlineStr"/>
      <c r="C135" s="18" t="n">
        <v>13</v>
      </c>
      <c r="D135" s="18" t="n">
        <v>25</v>
      </c>
      <c r="E135" s="48" t="inlineStr">
        <is>
          <t>13x25</t>
        </is>
      </c>
      <c r="F135" s="49" t="n"/>
      <c r="G135" s="49">
        <f>$I$3</f>
        <v/>
      </c>
      <c r="H135" s="50">
        <f>IF(F135="","",F135+$I$3)</f>
        <v/>
      </c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16" t="inlineStr">
        <is>
          <t>Rolled - Super Forge</t>
        </is>
      </c>
      <c r="B136" s="42" t="inlineStr"/>
      <c r="C136" s="14" t="n">
        <v>13</v>
      </c>
      <c r="D136" s="14" t="n">
        <v>32</v>
      </c>
      <c r="E136" s="43" t="inlineStr">
        <is>
          <t>13x32</t>
        </is>
      </c>
      <c r="F136" s="44" t="n"/>
      <c r="G136" s="44">
        <f>$I$3</f>
        <v/>
      </c>
      <c r="H136" s="45">
        <f>IF(F136="","",F136+$I$3)</f>
        <v/>
      </c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0" t="inlineStr">
        <is>
          <t>Rolled - Super Forge</t>
        </is>
      </c>
      <c r="B137" s="47" t="inlineStr"/>
      <c r="C137" s="18" t="n">
        <v>13</v>
      </c>
      <c r="D137" s="18" t="n">
        <v>40</v>
      </c>
      <c r="E137" s="48" t="inlineStr">
        <is>
          <t>13x40</t>
        </is>
      </c>
      <c r="F137" s="49" t="n"/>
      <c r="G137" s="49">
        <f>$I$3</f>
        <v/>
      </c>
      <c r="H137" s="50">
        <f>IF(F137="","",F137+$I$3)</f>
        <v/>
      </c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16" t="inlineStr">
        <is>
          <t>Rolled - Super Forge</t>
        </is>
      </c>
      <c r="B138" s="42" t="inlineStr"/>
      <c r="C138" s="14" t="n">
        <v>13</v>
      </c>
      <c r="D138" s="14" t="n">
        <v>50</v>
      </c>
      <c r="E138" s="43" t="inlineStr">
        <is>
          <t>13x50</t>
        </is>
      </c>
      <c r="F138" s="44" t="n"/>
      <c r="G138" s="44">
        <f>$I$3</f>
        <v/>
      </c>
      <c r="H138" s="45">
        <f>IF(F138="","",F138+$I$3)</f>
        <v/>
      </c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0" t="inlineStr">
        <is>
          <t>Rolled - Super Forge</t>
        </is>
      </c>
      <c r="B139" s="47" t="inlineStr"/>
      <c r="C139" s="18" t="n">
        <v>13</v>
      </c>
      <c r="D139" s="18" t="n">
        <v>65</v>
      </c>
      <c r="E139" s="48" t="inlineStr">
        <is>
          <t>13x65</t>
        </is>
      </c>
      <c r="F139" s="49" t="n"/>
      <c r="G139" s="49">
        <f>$I$3</f>
        <v/>
      </c>
      <c r="H139" s="50">
        <f>IF(F139="","",F139+$I$3)</f>
        <v/>
      </c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16" t="inlineStr">
        <is>
          <t>Rolled - Super Forge</t>
        </is>
      </c>
      <c r="B140" s="42" t="inlineStr"/>
      <c r="C140" s="14" t="n">
        <v>13</v>
      </c>
      <c r="D140" s="14" t="n">
        <v>80</v>
      </c>
      <c r="E140" s="43" t="inlineStr">
        <is>
          <t>13x80</t>
        </is>
      </c>
      <c r="F140" s="44" t="n"/>
      <c r="G140" s="44">
        <f>$I$3</f>
        <v/>
      </c>
      <c r="H140" s="45">
        <f>IF(F140="","",F140+$I$3)</f>
        <v/>
      </c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0" t="inlineStr">
        <is>
          <t>Rolled - Super Forge</t>
        </is>
      </c>
      <c r="B141" s="47" t="inlineStr"/>
      <c r="C141" s="18" t="n">
        <v>13</v>
      </c>
      <c r="D141" s="18" t="n">
        <v>105</v>
      </c>
      <c r="E141" s="48" t="inlineStr">
        <is>
          <t>13x105</t>
        </is>
      </c>
      <c r="F141" s="49" t="n"/>
      <c r="G141" s="49">
        <f>$I$3</f>
        <v/>
      </c>
      <c r="H141" s="50">
        <f>IF(F141="","",F141+$I$3)</f>
        <v/>
      </c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16" t="inlineStr">
        <is>
          <t>Rolled - Super Forge</t>
        </is>
      </c>
      <c r="B142" s="42" t="inlineStr"/>
      <c r="C142" s="14" t="n">
        <v>16</v>
      </c>
      <c r="D142" s="14" t="n">
        <v>32</v>
      </c>
      <c r="E142" s="43" t="inlineStr">
        <is>
          <t>16x32</t>
        </is>
      </c>
      <c r="F142" s="44" t="n"/>
      <c r="G142" s="44">
        <f>$I$3</f>
        <v/>
      </c>
      <c r="H142" s="45">
        <f>IF(F142="","",F142+$I$3)</f>
        <v/>
      </c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0" t="inlineStr">
        <is>
          <t>Rolled - Super Forge</t>
        </is>
      </c>
      <c r="B143" s="47" t="inlineStr"/>
      <c r="C143" s="18" t="n">
        <v>16</v>
      </c>
      <c r="D143" s="18" t="n">
        <v>40</v>
      </c>
      <c r="E143" s="48" t="inlineStr">
        <is>
          <t>16x40</t>
        </is>
      </c>
      <c r="F143" s="49" t="n"/>
      <c r="G143" s="49">
        <f>$I$3</f>
        <v/>
      </c>
      <c r="H143" s="50">
        <f>IF(F143="","",F143+$I$3)</f>
        <v/>
      </c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16" t="inlineStr">
        <is>
          <t>Rolled - Super Forge</t>
        </is>
      </c>
      <c r="B144" s="42" t="inlineStr"/>
      <c r="C144" s="14" t="n">
        <v>16</v>
      </c>
      <c r="D144" s="14" t="n">
        <v>50</v>
      </c>
      <c r="E144" s="43" t="inlineStr">
        <is>
          <t>16x50</t>
        </is>
      </c>
      <c r="F144" s="44" t="n"/>
      <c r="G144" s="44">
        <f>$I$3</f>
        <v/>
      </c>
      <c r="H144" s="45">
        <f>IF(F144="","",F144+$I$3)</f>
        <v/>
      </c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0" t="inlineStr">
        <is>
          <t>Rolled - Super Forge</t>
        </is>
      </c>
      <c r="B145" s="47" t="inlineStr"/>
      <c r="C145" s="18" t="n">
        <v>16</v>
      </c>
      <c r="D145" s="18" t="n">
        <v>65</v>
      </c>
      <c r="E145" s="48" t="inlineStr">
        <is>
          <t>16x65</t>
        </is>
      </c>
      <c r="F145" s="49" t="n"/>
      <c r="G145" s="49">
        <f>$I$3</f>
        <v/>
      </c>
      <c r="H145" s="50">
        <f>IF(F145="","",F145+$I$3)</f>
        <v/>
      </c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16" t="inlineStr">
        <is>
          <t>Rolled - Super Forge</t>
        </is>
      </c>
      <c r="B146" s="42" t="inlineStr"/>
      <c r="C146" s="14" t="n">
        <v>16</v>
      </c>
      <c r="D146" s="14" t="n">
        <v>80</v>
      </c>
      <c r="E146" s="43" t="inlineStr">
        <is>
          <t>16x80</t>
        </is>
      </c>
      <c r="F146" s="44" t="n"/>
      <c r="G146" s="44">
        <f>$I$3</f>
        <v/>
      </c>
      <c r="H146" s="45">
        <f>IF(F146="","",F146+$I$3)</f>
        <v/>
      </c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0" t="inlineStr">
        <is>
          <t>Rolled - Super Forge</t>
        </is>
      </c>
      <c r="B147" s="47" t="inlineStr"/>
      <c r="C147" s="18" t="n">
        <v>16</v>
      </c>
      <c r="D147" s="18" t="n">
        <v>105</v>
      </c>
      <c r="E147" s="48" t="inlineStr">
        <is>
          <t>16x105</t>
        </is>
      </c>
      <c r="F147" s="49" t="n"/>
      <c r="G147" s="49">
        <f>$I$3</f>
        <v/>
      </c>
      <c r="H147" s="50">
        <f>IF(F147="","",F147+$I$3)</f>
        <v/>
      </c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16" t="inlineStr">
        <is>
          <t>Rolled - Super Forge</t>
        </is>
      </c>
      <c r="B148" s="42" t="inlineStr"/>
      <c r="C148" s="14" t="n">
        <v>16</v>
      </c>
      <c r="D148" s="14" t="n">
        <v>130</v>
      </c>
      <c r="E148" s="43" t="inlineStr">
        <is>
          <t>16x130</t>
        </is>
      </c>
      <c r="F148" s="44" t="n"/>
      <c r="G148" s="44">
        <f>$I$3</f>
        <v/>
      </c>
      <c r="H148" s="45">
        <f>IF(F148="","",F148+$I$3)</f>
        <v/>
      </c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0" t="inlineStr">
        <is>
          <t>Rolled - Super Forge</t>
        </is>
      </c>
      <c r="B149" s="47" t="inlineStr"/>
      <c r="C149" s="18" t="n">
        <v>16</v>
      </c>
      <c r="D149" s="18" t="n">
        <v>155</v>
      </c>
      <c r="E149" s="48" t="inlineStr">
        <is>
          <t>16x155</t>
        </is>
      </c>
      <c r="F149" s="49" t="n"/>
      <c r="G149" s="49">
        <f>$I$3</f>
        <v/>
      </c>
      <c r="H149" s="50">
        <f>IF(F149="","",F149+$I$3)</f>
        <v/>
      </c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16" t="inlineStr">
        <is>
          <t>Rolled - Super Forge</t>
        </is>
      </c>
      <c r="B150" s="42" t="inlineStr"/>
      <c r="C150" s="14" t="n">
        <v>20</v>
      </c>
      <c r="D150" s="14" t="n">
        <v>40</v>
      </c>
      <c r="E150" s="43" t="inlineStr">
        <is>
          <t>20x40</t>
        </is>
      </c>
      <c r="F150" s="44" t="n"/>
      <c r="G150" s="44">
        <f>$I$3</f>
        <v/>
      </c>
      <c r="H150" s="45">
        <f>IF(F150="","",F150+$I$3)</f>
        <v/>
      </c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0" t="inlineStr">
        <is>
          <t>Rolled - Super Forge</t>
        </is>
      </c>
      <c r="B151" s="47" t="inlineStr"/>
      <c r="C151" s="18" t="n">
        <v>20</v>
      </c>
      <c r="D151" s="18" t="n">
        <v>50</v>
      </c>
      <c r="E151" s="48" t="inlineStr">
        <is>
          <t>20x50</t>
        </is>
      </c>
      <c r="F151" s="49" t="n"/>
      <c r="G151" s="49">
        <f>$I$3</f>
        <v/>
      </c>
      <c r="H151" s="50">
        <f>IF(F151="","",F151+$I$3)</f>
        <v/>
      </c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16" t="inlineStr">
        <is>
          <t>Rolled - Super Forge</t>
        </is>
      </c>
      <c r="B152" s="42" t="inlineStr"/>
      <c r="C152" s="14" t="n">
        <v>20</v>
      </c>
      <c r="D152" s="14" t="n">
        <v>65</v>
      </c>
      <c r="E152" s="43" t="inlineStr">
        <is>
          <t>20x65</t>
        </is>
      </c>
      <c r="F152" s="44" t="n"/>
      <c r="G152" s="44">
        <f>$I$3</f>
        <v/>
      </c>
      <c r="H152" s="45">
        <f>IF(F152="","",F152+$I$3)</f>
        <v/>
      </c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0" t="inlineStr">
        <is>
          <t>Rolled - Super Forge</t>
        </is>
      </c>
      <c r="B153" s="47" t="inlineStr"/>
      <c r="C153" s="18" t="n">
        <v>20</v>
      </c>
      <c r="D153" s="18" t="n">
        <v>80</v>
      </c>
      <c r="E153" s="48" t="inlineStr">
        <is>
          <t>20x80</t>
        </is>
      </c>
      <c r="F153" s="49" t="n"/>
      <c r="G153" s="49">
        <f>$I$3</f>
        <v/>
      </c>
      <c r="H153" s="50">
        <f>IF(F153="","",F153+$I$3)</f>
        <v/>
      </c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16" t="inlineStr">
        <is>
          <t>Rolled - Super Forge</t>
        </is>
      </c>
      <c r="B154" s="42" t="inlineStr"/>
      <c r="C154" s="14" t="n">
        <v>20</v>
      </c>
      <c r="D154" s="14" t="n">
        <v>105</v>
      </c>
      <c r="E154" s="43" t="inlineStr">
        <is>
          <t>20x105</t>
        </is>
      </c>
      <c r="F154" s="44" t="n"/>
      <c r="G154" s="44">
        <f>$I$3</f>
        <v/>
      </c>
      <c r="H154" s="45">
        <f>IF(F154="","",F154+$I$3)</f>
        <v/>
      </c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0" t="inlineStr">
        <is>
          <t>Rolled - Super Forge</t>
        </is>
      </c>
      <c r="B155" s="47" t="inlineStr"/>
      <c r="C155" s="18" t="n">
        <v>20</v>
      </c>
      <c r="D155" s="18" t="n">
        <v>130</v>
      </c>
      <c r="E155" s="48" t="inlineStr">
        <is>
          <t>20x130</t>
        </is>
      </c>
      <c r="F155" s="49" t="n"/>
      <c r="G155" s="49">
        <f>$I$3</f>
        <v/>
      </c>
      <c r="H155" s="50">
        <f>IF(F155="","",F155+$I$3)</f>
        <v/>
      </c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16" t="inlineStr">
        <is>
          <t>Rolled - Super Forge</t>
        </is>
      </c>
      <c r="B156" s="42" t="inlineStr"/>
      <c r="C156" s="14" t="n">
        <v>20</v>
      </c>
      <c r="D156" s="14" t="n">
        <v>155</v>
      </c>
      <c r="E156" s="43" t="inlineStr">
        <is>
          <t>20x155</t>
        </is>
      </c>
      <c r="F156" s="44" t="n"/>
      <c r="G156" s="44">
        <f>$I$3</f>
        <v/>
      </c>
      <c r="H156" s="45">
        <f>IF(F156="","",F156+$I$3)</f>
        <v/>
      </c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0" t="inlineStr">
        <is>
          <t>Rolled - Super Forge</t>
        </is>
      </c>
      <c r="B157" s="47" t="inlineStr"/>
      <c r="C157" s="18" t="n">
        <v>20</v>
      </c>
      <c r="D157" s="18" t="n">
        <v>200</v>
      </c>
      <c r="E157" s="48" t="inlineStr">
        <is>
          <t>20x200</t>
        </is>
      </c>
      <c r="F157" s="49" t="n"/>
      <c r="G157" s="49">
        <f>$I$3</f>
        <v/>
      </c>
      <c r="H157" s="50">
        <f>IF(F157="","",F157+$I$3)</f>
        <v/>
      </c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16" t="inlineStr">
        <is>
          <t>Rolled - Super Forge</t>
        </is>
      </c>
      <c r="B158" s="42" t="inlineStr"/>
      <c r="C158" s="14" t="n">
        <v>25</v>
      </c>
      <c r="D158" s="14" t="n">
        <v>40</v>
      </c>
      <c r="E158" s="43" t="inlineStr">
        <is>
          <t>25x40</t>
        </is>
      </c>
      <c r="F158" s="44" t="n"/>
      <c r="G158" s="44">
        <f>$I$3</f>
        <v/>
      </c>
      <c r="H158" s="45">
        <f>IF(F158="","",F158+$I$3)</f>
        <v/>
      </c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0" t="inlineStr">
        <is>
          <t>Rolled - Super Forge</t>
        </is>
      </c>
      <c r="B159" s="47" t="inlineStr"/>
      <c r="C159" s="18" t="n">
        <v>25</v>
      </c>
      <c r="D159" s="18" t="n">
        <v>50</v>
      </c>
      <c r="E159" s="48" t="inlineStr">
        <is>
          <t>25x50</t>
        </is>
      </c>
      <c r="F159" s="49" t="n"/>
      <c r="G159" s="49">
        <f>$I$3</f>
        <v/>
      </c>
      <c r="H159" s="50">
        <f>IF(F159="","",F159+$I$3)</f>
        <v/>
      </c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16" t="inlineStr">
        <is>
          <t>Rolled - Super Forge</t>
        </is>
      </c>
      <c r="B160" s="42" t="inlineStr"/>
      <c r="C160" s="14" t="n">
        <v>25</v>
      </c>
      <c r="D160" s="14" t="n">
        <v>65</v>
      </c>
      <c r="E160" s="43" t="inlineStr">
        <is>
          <t>25x65</t>
        </is>
      </c>
      <c r="F160" s="44" t="n"/>
      <c r="G160" s="44">
        <f>$I$3</f>
        <v/>
      </c>
      <c r="H160" s="45">
        <f>IF(F160="","",F160+$I$3)</f>
        <v/>
      </c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0" t="inlineStr">
        <is>
          <t>Rolled - Super Forge</t>
        </is>
      </c>
      <c r="B161" s="47" t="inlineStr"/>
      <c r="C161" s="18" t="n">
        <v>25</v>
      </c>
      <c r="D161" s="18" t="n">
        <v>80</v>
      </c>
      <c r="E161" s="48" t="inlineStr">
        <is>
          <t>25x80</t>
        </is>
      </c>
      <c r="F161" s="49" t="n"/>
      <c r="G161" s="49">
        <f>$I$3</f>
        <v/>
      </c>
      <c r="H161" s="50">
        <f>IF(F161="","",F161+$I$3)</f>
        <v/>
      </c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16" t="inlineStr">
        <is>
          <t>Rolled - Super Forge</t>
        </is>
      </c>
      <c r="B162" s="42" t="inlineStr"/>
      <c r="C162" s="14" t="n">
        <v>25</v>
      </c>
      <c r="D162" s="14" t="n">
        <v>105</v>
      </c>
      <c r="E162" s="43" t="inlineStr">
        <is>
          <t>25x105</t>
        </is>
      </c>
      <c r="F162" s="44" t="n"/>
      <c r="G162" s="44">
        <f>$I$3</f>
        <v/>
      </c>
      <c r="H162" s="45">
        <f>IF(F162="","",F162+$I$3)</f>
        <v/>
      </c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0" t="inlineStr">
        <is>
          <t>Rolled - Super Forge</t>
        </is>
      </c>
      <c r="B163" s="47" t="inlineStr"/>
      <c r="C163" s="18" t="n">
        <v>25</v>
      </c>
      <c r="D163" s="18" t="n">
        <v>130</v>
      </c>
      <c r="E163" s="48" t="inlineStr">
        <is>
          <t>25x130</t>
        </is>
      </c>
      <c r="F163" s="49" t="n"/>
      <c r="G163" s="49">
        <f>$I$3</f>
        <v/>
      </c>
      <c r="H163" s="50">
        <f>IF(F163="","",F163+$I$3)</f>
        <v/>
      </c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16" t="inlineStr">
        <is>
          <t>Rolled - Super Forge</t>
        </is>
      </c>
      <c r="B164" s="42" t="inlineStr"/>
      <c r="C164" s="14" t="n">
        <v>25</v>
      </c>
      <c r="D164" s="14" t="n">
        <v>155</v>
      </c>
      <c r="E164" s="43" t="inlineStr">
        <is>
          <t>25x155</t>
        </is>
      </c>
      <c r="F164" s="44" t="n"/>
      <c r="G164" s="44">
        <f>$I$3</f>
        <v/>
      </c>
      <c r="H164" s="45">
        <f>IF(F164="","",F164+$I$3)</f>
        <v/>
      </c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0" t="inlineStr">
        <is>
          <t>Rolled - Super Forge</t>
        </is>
      </c>
      <c r="B165" s="47" t="inlineStr"/>
      <c r="C165" s="18" t="n">
        <v>25</v>
      </c>
      <c r="D165" s="18" t="n">
        <v>200</v>
      </c>
      <c r="E165" s="48" t="inlineStr">
        <is>
          <t>25x200</t>
        </is>
      </c>
      <c r="F165" s="49" t="n"/>
      <c r="G165" s="49">
        <f>$I$3</f>
        <v/>
      </c>
      <c r="H165" s="50">
        <f>IF(F165="","",F165+$I$3)</f>
        <v/>
      </c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16" t="inlineStr">
        <is>
          <t>Rolled - Super Forge</t>
        </is>
      </c>
      <c r="B166" s="42" t="inlineStr"/>
      <c r="C166" s="14" t="n">
        <v>25</v>
      </c>
      <c r="D166" s="14" t="n">
        <v>250</v>
      </c>
      <c r="E166" s="43" t="inlineStr">
        <is>
          <t>25x250</t>
        </is>
      </c>
      <c r="F166" s="44" t="n"/>
      <c r="G166" s="44">
        <f>$I$3</f>
        <v/>
      </c>
      <c r="H166" s="45">
        <f>IF(F166="","",F166+$I$3)</f>
        <v/>
      </c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0" t="inlineStr">
        <is>
          <t>Rolled - Super Forge</t>
        </is>
      </c>
      <c r="B167" s="47" t="inlineStr"/>
      <c r="C167" s="18" t="n">
        <v>32</v>
      </c>
      <c r="D167" s="18" t="n">
        <v>40</v>
      </c>
      <c r="E167" s="48" t="inlineStr">
        <is>
          <t>32x40</t>
        </is>
      </c>
      <c r="F167" s="49" t="n"/>
      <c r="G167" s="49">
        <f>$I$3</f>
        <v/>
      </c>
      <c r="H167" s="50">
        <f>IF(F167="","",F167+$I$3)</f>
        <v/>
      </c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16" t="inlineStr">
        <is>
          <t>Rolled - Super Forge</t>
        </is>
      </c>
      <c r="B168" s="42" t="inlineStr"/>
      <c r="C168" s="14" t="n">
        <v>32</v>
      </c>
      <c r="D168" s="14" t="n">
        <v>50</v>
      </c>
      <c r="E168" s="43" t="inlineStr">
        <is>
          <t>32x50</t>
        </is>
      </c>
      <c r="F168" s="44" t="n"/>
      <c r="G168" s="44">
        <f>$I$3</f>
        <v/>
      </c>
      <c r="H168" s="45">
        <f>IF(F168="","",F168+$I$3)</f>
        <v/>
      </c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0" t="inlineStr">
        <is>
          <t>Rolled - Super Forge</t>
        </is>
      </c>
      <c r="B169" s="47" t="inlineStr"/>
      <c r="C169" s="18" t="n">
        <v>32</v>
      </c>
      <c r="D169" s="18" t="n">
        <v>65</v>
      </c>
      <c r="E169" s="48" t="inlineStr">
        <is>
          <t>32x65</t>
        </is>
      </c>
      <c r="F169" s="49" t="n"/>
      <c r="G169" s="49">
        <f>$I$3</f>
        <v/>
      </c>
      <c r="H169" s="50">
        <f>IF(F169="","",F169+$I$3)</f>
        <v/>
      </c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16" t="inlineStr">
        <is>
          <t>Rolled - Super Forge</t>
        </is>
      </c>
      <c r="B170" s="42" t="inlineStr"/>
      <c r="C170" s="14" t="n">
        <v>32</v>
      </c>
      <c r="D170" s="14" t="n">
        <v>80</v>
      </c>
      <c r="E170" s="43" t="inlineStr">
        <is>
          <t>32x80</t>
        </is>
      </c>
      <c r="F170" s="44" t="n"/>
      <c r="G170" s="44">
        <f>$I$3</f>
        <v/>
      </c>
      <c r="H170" s="45">
        <f>IF(F170="","",F170+$I$3)</f>
        <v/>
      </c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0" t="inlineStr">
        <is>
          <t>Rolled - Super Forge</t>
        </is>
      </c>
      <c r="B171" s="47" t="inlineStr"/>
      <c r="C171" s="18" t="n">
        <v>32</v>
      </c>
      <c r="D171" s="18" t="n">
        <v>105</v>
      </c>
      <c r="E171" s="48" t="inlineStr">
        <is>
          <t>32x105</t>
        </is>
      </c>
      <c r="F171" s="49" t="n"/>
      <c r="G171" s="49">
        <f>$I$3</f>
        <v/>
      </c>
      <c r="H171" s="50">
        <f>IF(F171="","",F171+$I$3)</f>
        <v/>
      </c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16" t="inlineStr">
        <is>
          <t>Rolled - Super Forge</t>
        </is>
      </c>
      <c r="B172" s="42" t="inlineStr"/>
      <c r="C172" s="14" t="n">
        <v>32</v>
      </c>
      <c r="D172" s="14" t="n">
        <v>130</v>
      </c>
      <c r="E172" s="43" t="inlineStr">
        <is>
          <t>32x130</t>
        </is>
      </c>
      <c r="F172" s="44" t="n"/>
      <c r="G172" s="44">
        <f>$I$3</f>
        <v/>
      </c>
      <c r="H172" s="45">
        <f>IF(F172="","",F172+$I$3)</f>
        <v/>
      </c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0" t="inlineStr">
        <is>
          <t>Rolled - Super Forge</t>
        </is>
      </c>
      <c r="B173" s="47" t="inlineStr"/>
      <c r="C173" s="18" t="n">
        <v>32</v>
      </c>
      <c r="D173" s="18" t="n">
        <v>155</v>
      </c>
      <c r="E173" s="48" t="inlineStr">
        <is>
          <t>32x155</t>
        </is>
      </c>
      <c r="F173" s="49" t="n"/>
      <c r="G173" s="49">
        <f>$I$3</f>
        <v/>
      </c>
      <c r="H173" s="50">
        <f>IF(F173="","",F173+$I$3)</f>
        <v/>
      </c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16" t="inlineStr">
        <is>
          <t>Rolled - Super Forge</t>
        </is>
      </c>
      <c r="B174" s="42" t="inlineStr"/>
      <c r="C174" s="14" t="n">
        <v>32</v>
      </c>
      <c r="D174" s="14" t="n">
        <v>180</v>
      </c>
      <c r="E174" s="43" t="inlineStr">
        <is>
          <t>32x180</t>
        </is>
      </c>
      <c r="F174" s="44" t="n"/>
      <c r="G174" s="44">
        <f>$I$3</f>
        <v/>
      </c>
      <c r="H174" s="45">
        <f>IF(F174="","",F174+$I$3)</f>
        <v/>
      </c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0" t="inlineStr">
        <is>
          <t>Rolled - Super Forge</t>
        </is>
      </c>
      <c r="B175" s="47" t="inlineStr"/>
      <c r="C175" s="18" t="n">
        <v>32</v>
      </c>
      <c r="D175" s="18" t="n">
        <v>200</v>
      </c>
      <c r="E175" s="48" t="inlineStr">
        <is>
          <t>32x200</t>
        </is>
      </c>
      <c r="F175" s="49" t="n"/>
      <c r="G175" s="49">
        <f>$I$3</f>
        <v/>
      </c>
      <c r="H175" s="50">
        <f>IF(F175="","",F175+$I$3)</f>
        <v/>
      </c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16" t="inlineStr">
        <is>
          <t>Rolled - Super Forge</t>
        </is>
      </c>
      <c r="B176" s="42" t="inlineStr"/>
      <c r="C176" s="14" t="n">
        <v>32</v>
      </c>
      <c r="D176" s="14" t="n">
        <v>250</v>
      </c>
      <c r="E176" s="43" t="inlineStr">
        <is>
          <t>32x250</t>
        </is>
      </c>
      <c r="F176" s="44" t="n"/>
      <c r="G176" s="44">
        <f>$I$3</f>
        <v/>
      </c>
      <c r="H176" s="45">
        <f>IF(F176="","",F176+$I$3)</f>
        <v/>
      </c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0" t="inlineStr">
        <is>
          <t>Rolled - Super Forge</t>
        </is>
      </c>
      <c r="B177" s="47" t="inlineStr"/>
      <c r="C177" s="18" t="n">
        <v>32</v>
      </c>
      <c r="D177" s="18" t="n">
        <v>310</v>
      </c>
      <c r="E177" s="48" t="inlineStr">
        <is>
          <t>32x310</t>
        </is>
      </c>
      <c r="F177" s="49" t="n"/>
      <c r="G177" s="49">
        <f>$I$3</f>
        <v/>
      </c>
      <c r="H177" s="50">
        <f>IF(F177="","",F177+$I$3)</f>
        <v/>
      </c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16" t="inlineStr">
        <is>
          <t>Rolled - Super Forge</t>
        </is>
      </c>
      <c r="B178" s="42" t="inlineStr"/>
      <c r="C178" s="14" t="n">
        <v>32</v>
      </c>
      <c r="D178" s="14" t="n">
        <v>355</v>
      </c>
      <c r="E178" s="43" t="inlineStr">
        <is>
          <t>32x355</t>
        </is>
      </c>
      <c r="F178" s="44" t="n"/>
      <c r="G178" s="44">
        <f>$I$3</f>
        <v/>
      </c>
      <c r="H178" s="45">
        <f>IF(F178="","",F178+$I$3)</f>
        <v/>
      </c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0" t="inlineStr">
        <is>
          <t>Rolled - Super Forge</t>
        </is>
      </c>
      <c r="B179" s="47" t="inlineStr"/>
      <c r="C179" s="18" t="n">
        <v>32</v>
      </c>
      <c r="D179" s="18" t="n">
        <v>410</v>
      </c>
      <c r="E179" s="48" t="inlineStr">
        <is>
          <t>32x410</t>
        </is>
      </c>
      <c r="F179" s="49" t="n"/>
      <c r="G179" s="49">
        <f>$I$3</f>
        <v/>
      </c>
      <c r="H179" s="50">
        <f>IF(F179="","",F179+$I$3)</f>
        <v/>
      </c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16" t="inlineStr">
        <is>
          <t>Forging</t>
        </is>
      </c>
      <c r="B180" s="42" t="inlineStr"/>
      <c r="C180" s="14" t="n">
        <v>40</v>
      </c>
      <c r="D180" s="14" t="n">
        <v>50</v>
      </c>
      <c r="E180" s="43" t="inlineStr">
        <is>
          <t>40x50</t>
        </is>
      </c>
      <c r="F180" s="44" t="n"/>
      <c r="G180" s="44">
        <f>$I$3</f>
        <v/>
      </c>
      <c r="H180" s="45">
        <f>IF(F180="","",F180+$I$3)</f>
        <v/>
      </c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0" t="inlineStr">
        <is>
          <t>Forging</t>
        </is>
      </c>
      <c r="B181" s="47" t="inlineStr"/>
      <c r="C181" s="18" t="n">
        <v>40</v>
      </c>
      <c r="D181" s="18" t="n">
        <v>65</v>
      </c>
      <c r="E181" s="48" t="inlineStr">
        <is>
          <t>40x65</t>
        </is>
      </c>
      <c r="F181" s="49" t="n"/>
      <c r="G181" s="49">
        <f>$I$3</f>
        <v/>
      </c>
      <c r="H181" s="50">
        <f>IF(F181="","",F181+$I$3)</f>
        <v/>
      </c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16" t="inlineStr">
        <is>
          <t>Forging</t>
        </is>
      </c>
      <c r="B182" s="42" t="inlineStr"/>
      <c r="C182" s="14" t="n">
        <v>40</v>
      </c>
      <c r="D182" s="14" t="n">
        <v>80</v>
      </c>
      <c r="E182" s="43" t="inlineStr">
        <is>
          <t>40x80</t>
        </is>
      </c>
      <c r="F182" s="44" t="n"/>
      <c r="G182" s="44">
        <f>$I$3</f>
        <v/>
      </c>
      <c r="H182" s="45">
        <f>IF(F182="","",F182+$I$3)</f>
        <v/>
      </c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0" t="inlineStr">
        <is>
          <t>Forging</t>
        </is>
      </c>
      <c r="B183" s="47" t="inlineStr"/>
      <c r="C183" s="18" t="n">
        <v>40</v>
      </c>
      <c r="D183" s="18" t="n">
        <v>105</v>
      </c>
      <c r="E183" s="48" t="inlineStr">
        <is>
          <t>40x105</t>
        </is>
      </c>
      <c r="F183" s="49" t="n"/>
      <c r="G183" s="49">
        <f>$I$3</f>
        <v/>
      </c>
      <c r="H183" s="50">
        <f>IF(F183="","",F183+$I$3)</f>
        <v/>
      </c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16" t="inlineStr">
        <is>
          <t>Forging</t>
        </is>
      </c>
      <c r="B184" s="42" t="inlineStr"/>
      <c r="C184" s="14" t="n">
        <v>40</v>
      </c>
      <c r="D184" s="14" t="n">
        <v>130</v>
      </c>
      <c r="E184" s="43" t="inlineStr">
        <is>
          <t>40x130</t>
        </is>
      </c>
      <c r="F184" s="44" t="n"/>
      <c r="G184" s="44">
        <f>$I$3</f>
        <v/>
      </c>
      <c r="H184" s="45">
        <f>IF(F184="","",F184+$I$3)</f>
        <v/>
      </c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0" t="inlineStr">
        <is>
          <t>Forging</t>
        </is>
      </c>
      <c r="B185" s="47" t="inlineStr"/>
      <c r="C185" s="18" t="n">
        <v>40</v>
      </c>
      <c r="D185" s="18" t="n">
        <v>155</v>
      </c>
      <c r="E185" s="48" t="inlineStr">
        <is>
          <t>40x155</t>
        </is>
      </c>
      <c r="F185" s="49" t="n"/>
      <c r="G185" s="49">
        <f>$I$3</f>
        <v/>
      </c>
      <c r="H185" s="50">
        <f>IF(F185="","",F185+$I$3)</f>
        <v/>
      </c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16" t="inlineStr">
        <is>
          <t>Forging</t>
        </is>
      </c>
      <c r="B186" s="42" t="inlineStr"/>
      <c r="C186" s="14" t="n">
        <v>40</v>
      </c>
      <c r="D186" s="14" t="n">
        <v>200</v>
      </c>
      <c r="E186" s="43" t="inlineStr">
        <is>
          <t>40x200</t>
        </is>
      </c>
      <c r="F186" s="44" t="n"/>
      <c r="G186" s="44">
        <f>$I$3</f>
        <v/>
      </c>
      <c r="H186" s="45">
        <f>IF(F186="","",F186+$I$3)</f>
        <v/>
      </c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0" t="inlineStr">
        <is>
          <t>Forging</t>
        </is>
      </c>
      <c r="B187" s="47" t="inlineStr"/>
      <c r="C187" s="18" t="n">
        <v>40</v>
      </c>
      <c r="D187" s="18" t="n">
        <v>250</v>
      </c>
      <c r="E187" s="48" t="inlineStr">
        <is>
          <t>40x250</t>
        </is>
      </c>
      <c r="F187" s="49" t="n"/>
      <c r="G187" s="49">
        <f>$I$3</f>
        <v/>
      </c>
      <c r="H187" s="50">
        <f>IF(F187="","",F187+$I$3)</f>
        <v/>
      </c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16" t="inlineStr">
        <is>
          <t>Forging</t>
        </is>
      </c>
      <c r="B188" s="42" t="inlineStr"/>
      <c r="C188" s="14" t="n">
        <v>40</v>
      </c>
      <c r="D188" s="14" t="n">
        <v>310</v>
      </c>
      <c r="E188" s="43" t="inlineStr">
        <is>
          <t>40x310</t>
        </is>
      </c>
      <c r="F188" s="44" t="n"/>
      <c r="G188" s="44">
        <f>$I$3</f>
        <v/>
      </c>
      <c r="H188" s="45">
        <f>IF(F188="","",F188+$I$3)</f>
        <v/>
      </c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0" t="inlineStr">
        <is>
          <t>Forging</t>
        </is>
      </c>
      <c r="B189" s="47" t="inlineStr"/>
      <c r="C189" s="18" t="n">
        <v>40</v>
      </c>
      <c r="D189" s="18" t="n">
        <v>355</v>
      </c>
      <c r="E189" s="48" t="inlineStr">
        <is>
          <t>40x355</t>
        </is>
      </c>
      <c r="F189" s="49" t="n"/>
      <c r="G189" s="49">
        <f>$I$3</f>
        <v/>
      </c>
      <c r="H189" s="50">
        <f>IF(F189="","",F189+$I$3)</f>
        <v/>
      </c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16" t="inlineStr">
        <is>
          <t>Forging</t>
        </is>
      </c>
      <c r="B190" s="42" t="inlineStr"/>
      <c r="C190" s="14" t="n">
        <v>40</v>
      </c>
      <c r="D190" s="14" t="n">
        <v>410</v>
      </c>
      <c r="E190" s="43" t="inlineStr">
        <is>
          <t>40x410</t>
        </is>
      </c>
      <c r="F190" s="44" t="n"/>
      <c r="G190" s="44">
        <f>$I$3</f>
        <v/>
      </c>
      <c r="H190" s="45">
        <f>IF(F190="","",F190+$I$3)</f>
        <v/>
      </c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0" t="inlineStr">
        <is>
          <t>Forging</t>
        </is>
      </c>
      <c r="B191" s="47" t="inlineStr"/>
      <c r="C191" s="18" t="n">
        <v>50</v>
      </c>
      <c r="D191" s="18" t="n">
        <v>65</v>
      </c>
      <c r="E191" s="48" t="inlineStr">
        <is>
          <t>50x65</t>
        </is>
      </c>
      <c r="F191" s="49" t="n"/>
      <c r="G191" s="49">
        <f>$I$3</f>
        <v/>
      </c>
      <c r="H191" s="50">
        <f>IF(F191="","",F191+$I$3)</f>
        <v/>
      </c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16" t="inlineStr">
        <is>
          <t>Forging</t>
        </is>
      </c>
      <c r="B192" s="42" t="inlineStr"/>
      <c r="C192" s="14" t="n">
        <v>50</v>
      </c>
      <c r="D192" s="14" t="n">
        <v>80</v>
      </c>
      <c r="E192" s="43" t="inlineStr">
        <is>
          <t>50x80</t>
        </is>
      </c>
      <c r="F192" s="44" t="n"/>
      <c r="G192" s="44">
        <f>$I$3</f>
        <v/>
      </c>
      <c r="H192" s="45">
        <f>IF(F192="","",F192+$I$3)</f>
        <v/>
      </c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0" t="inlineStr">
        <is>
          <t>Forging</t>
        </is>
      </c>
      <c r="B193" s="47" t="inlineStr"/>
      <c r="C193" s="18" t="n">
        <v>50</v>
      </c>
      <c r="D193" s="18" t="n">
        <v>105</v>
      </c>
      <c r="E193" s="48" t="inlineStr">
        <is>
          <t>50x105</t>
        </is>
      </c>
      <c r="F193" s="49" t="n"/>
      <c r="G193" s="49">
        <f>$I$3</f>
        <v/>
      </c>
      <c r="H193" s="50">
        <f>IF(F193="","",F193+$I$3)</f>
        <v/>
      </c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16" t="inlineStr">
        <is>
          <t>Forging</t>
        </is>
      </c>
      <c r="B194" s="42" t="inlineStr"/>
      <c r="C194" s="14" t="n">
        <v>50</v>
      </c>
      <c r="D194" s="14" t="n">
        <v>130</v>
      </c>
      <c r="E194" s="43" t="inlineStr">
        <is>
          <t>50x130</t>
        </is>
      </c>
      <c r="F194" s="44" t="n"/>
      <c r="G194" s="44">
        <f>$I$3</f>
        <v/>
      </c>
      <c r="H194" s="45">
        <f>IF(F194="","",F194+$I$3)</f>
        <v/>
      </c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0" t="inlineStr">
        <is>
          <t>Forging</t>
        </is>
      </c>
      <c r="B195" s="47" t="inlineStr"/>
      <c r="C195" s="18" t="n">
        <v>50</v>
      </c>
      <c r="D195" s="18" t="n">
        <v>155</v>
      </c>
      <c r="E195" s="48" t="inlineStr">
        <is>
          <t>50x155</t>
        </is>
      </c>
      <c r="F195" s="49" t="n"/>
      <c r="G195" s="49">
        <f>$I$3</f>
        <v/>
      </c>
      <c r="H195" s="50">
        <f>IF(F195="","",F195+$I$3)</f>
        <v/>
      </c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16" t="inlineStr">
        <is>
          <t>Forging</t>
        </is>
      </c>
      <c r="B196" s="42" t="inlineStr"/>
      <c r="C196" s="14" t="n">
        <v>50</v>
      </c>
      <c r="D196" s="14" t="n">
        <v>200</v>
      </c>
      <c r="E196" s="43" t="inlineStr">
        <is>
          <t>50x200</t>
        </is>
      </c>
      <c r="F196" s="44" t="n"/>
      <c r="G196" s="44">
        <f>$I$3</f>
        <v/>
      </c>
      <c r="H196" s="45">
        <f>IF(F196="","",F196+$I$3)</f>
        <v/>
      </c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0" t="inlineStr">
        <is>
          <t>Forging</t>
        </is>
      </c>
      <c r="B197" s="47" t="inlineStr"/>
      <c r="C197" s="18" t="n">
        <v>50</v>
      </c>
      <c r="D197" s="18" t="n">
        <v>250</v>
      </c>
      <c r="E197" s="48" t="inlineStr">
        <is>
          <t>50x250</t>
        </is>
      </c>
      <c r="F197" s="49" t="n"/>
      <c r="G197" s="49">
        <f>$I$3</f>
        <v/>
      </c>
      <c r="H197" s="50">
        <f>IF(F197="","",F197+$I$3)</f>
        <v/>
      </c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16" t="inlineStr">
        <is>
          <t>Forging</t>
        </is>
      </c>
      <c r="B198" s="42" t="inlineStr"/>
      <c r="C198" s="14" t="n">
        <v>50</v>
      </c>
      <c r="D198" s="14" t="n">
        <v>310</v>
      </c>
      <c r="E198" s="43" t="inlineStr">
        <is>
          <t>50x310</t>
        </is>
      </c>
      <c r="F198" s="44" t="n"/>
      <c r="G198" s="44">
        <f>$I$3</f>
        <v/>
      </c>
      <c r="H198" s="45">
        <f>IF(F198="","",F198+$I$3)</f>
        <v/>
      </c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0" t="inlineStr">
        <is>
          <t>Forging</t>
        </is>
      </c>
      <c r="B199" s="47" t="inlineStr"/>
      <c r="C199" s="18" t="n">
        <v>50</v>
      </c>
      <c r="D199" s="18" t="n">
        <v>355</v>
      </c>
      <c r="E199" s="48" t="inlineStr">
        <is>
          <t>50x355</t>
        </is>
      </c>
      <c r="F199" s="49" t="n"/>
      <c r="G199" s="49">
        <f>$I$3</f>
        <v/>
      </c>
      <c r="H199" s="50">
        <f>IF(F199="","",F199+$I$3)</f>
        <v/>
      </c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16" t="inlineStr">
        <is>
          <t>Forging</t>
        </is>
      </c>
      <c r="B200" s="42" t="inlineStr"/>
      <c r="C200" s="14" t="n">
        <v>50</v>
      </c>
      <c r="D200" s="14" t="n">
        <v>410</v>
      </c>
      <c r="E200" s="43" t="inlineStr">
        <is>
          <t>50x410</t>
        </is>
      </c>
      <c r="F200" s="44" t="n"/>
      <c r="G200" s="44">
        <f>$I$3</f>
        <v/>
      </c>
      <c r="H200" s="45">
        <f>IF(F200="","",F200+$I$3)</f>
        <v/>
      </c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0" t="inlineStr">
        <is>
          <t>Forging</t>
        </is>
      </c>
      <c r="B201" s="47" t="inlineStr"/>
      <c r="C201" s="18" t="n">
        <v>65</v>
      </c>
      <c r="D201" s="18" t="n">
        <v>80</v>
      </c>
      <c r="E201" s="48" t="inlineStr">
        <is>
          <t>65x80</t>
        </is>
      </c>
      <c r="F201" s="49" t="n"/>
      <c r="G201" s="49">
        <f>$I$3</f>
        <v/>
      </c>
      <c r="H201" s="50">
        <f>IF(F201="","",F201+$I$3)</f>
        <v/>
      </c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16" t="inlineStr">
        <is>
          <t>Forging</t>
        </is>
      </c>
      <c r="B202" s="42" t="inlineStr"/>
      <c r="C202" s="14" t="n">
        <v>65</v>
      </c>
      <c r="D202" s="14" t="n">
        <v>105</v>
      </c>
      <c r="E202" s="43" t="inlineStr">
        <is>
          <t>65x105</t>
        </is>
      </c>
      <c r="F202" s="44" t="n"/>
      <c r="G202" s="44">
        <f>$I$3</f>
        <v/>
      </c>
      <c r="H202" s="45">
        <f>IF(F202="","",F202+$I$3)</f>
        <v/>
      </c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0" t="inlineStr">
        <is>
          <t>Forging</t>
        </is>
      </c>
      <c r="B203" s="47" t="inlineStr"/>
      <c r="C203" s="18" t="n">
        <v>65</v>
      </c>
      <c r="D203" s="18" t="n">
        <v>130</v>
      </c>
      <c r="E203" s="48" t="inlineStr">
        <is>
          <t>65x130</t>
        </is>
      </c>
      <c r="F203" s="49" t="n"/>
      <c r="G203" s="49">
        <f>$I$3</f>
        <v/>
      </c>
      <c r="H203" s="50">
        <f>IF(F203="","",F203+$I$3)</f>
        <v/>
      </c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16" t="inlineStr">
        <is>
          <t>Forging</t>
        </is>
      </c>
      <c r="B204" s="42" t="inlineStr"/>
      <c r="C204" s="14" t="n">
        <v>65</v>
      </c>
      <c r="D204" s="14" t="n">
        <v>155</v>
      </c>
      <c r="E204" s="43" t="inlineStr">
        <is>
          <t>65x155</t>
        </is>
      </c>
      <c r="F204" s="44" t="n"/>
      <c r="G204" s="44">
        <f>$I$3</f>
        <v/>
      </c>
      <c r="H204" s="45">
        <f>IF(F204="","",F204+$I$3)</f>
        <v/>
      </c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0" t="inlineStr">
        <is>
          <t>Forging</t>
        </is>
      </c>
      <c r="B205" s="47" t="inlineStr"/>
      <c r="C205" s="18" t="n">
        <v>65</v>
      </c>
      <c r="D205" s="18" t="n">
        <v>200</v>
      </c>
      <c r="E205" s="48" t="inlineStr">
        <is>
          <t>65x200</t>
        </is>
      </c>
      <c r="F205" s="49" t="n"/>
      <c r="G205" s="49">
        <f>$I$3</f>
        <v/>
      </c>
      <c r="H205" s="50">
        <f>IF(F205="","",F205+$I$3)</f>
        <v/>
      </c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16" t="inlineStr">
        <is>
          <t>Forging</t>
        </is>
      </c>
      <c r="B206" s="42" t="inlineStr"/>
      <c r="C206" s="14" t="n">
        <v>65</v>
      </c>
      <c r="D206" s="14" t="n">
        <v>250</v>
      </c>
      <c r="E206" s="43" t="inlineStr">
        <is>
          <t>65x250</t>
        </is>
      </c>
      <c r="F206" s="44" t="n"/>
      <c r="G206" s="44">
        <f>$I$3</f>
        <v/>
      </c>
      <c r="H206" s="45">
        <f>IF(F206="","",F206+$I$3)</f>
        <v/>
      </c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0" t="inlineStr">
        <is>
          <t>Forging</t>
        </is>
      </c>
      <c r="B207" s="47" t="inlineStr"/>
      <c r="C207" s="18" t="n">
        <v>65</v>
      </c>
      <c r="D207" s="18" t="n">
        <v>305</v>
      </c>
      <c r="E207" s="48" t="inlineStr">
        <is>
          <t>65x305</t>
        </is>
      </c>
      <c r="F207" s="49" t="n"/>
      <c r="G207" s="49">
        <f>$I$3</f>
        <v/>
      </c>
      <c r="H207" s="50">
        <f>IF(F207="","",F207+$I$3)</f>
        <v/>
      </c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16" t="inlineStr">
        <is>
          <t>Forging</t>
        </is>
      </c>
      <c r="B208" s="42" t="inlineStr"/>
      <c r="C208" s="14" t="n">
        <v>65</v>
      </c>
      <c r="D208" s="14" t="n">
        <v>355</v>
      </c>
      <c r="E208" s="43" t="inlineStr">
        <is>
          <t>65x355</t>
        </is>
      </c>
      <c r="F208" s="44" t="n"/>
      <c r="G208" s="44">
        <f>$I$3</f>
        <v/>
      </c>
      <c r="H208" s="45">
        <f>IF(F208="","",F208+$I$3)</f>
        <v/>
      </c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0" t="inlineStr">
        <is>
          <t>Forging</t>
        </is>
      </c>
      <c r="B209" s="47" t="inlineStr"/>
      <c r="C209" s="18" t="n">
        <v>65</v>
      </c>
      <c r="D209" s="18" t="n">
        <v>410</v>
      </c>
      <c r="E209" s="48" t="inlineStr">
        <is>
          <t>65x410</t>
        </is>
      </c>
      <c r="F209" s="49" t="n"/>
      <c r="G209" s="49">
        <f>$I$3</f>
        <v/>
      </c>
      <c r="H209" s="50">
        <f>IF(F209="","",F209+$I$3)</f>
        <v/>
      </c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16" t="inlineStr">
        <is>
          <t>Forging</t>
        </is>
      </c>
      <c r="B210" s="42" t="inlineStr"/>
      <c r="C210" s="14" t="n">
        <v>80</v>
      </c>
      <c r="D210" s="14" t="n">
        <v>105</v>
      </c>
      <c r="E210" s="43" t="inlineStr">
        <is>
          <t>80x105</t>
        </is>
      </c>
      <c r="F210" s="44" t="n"/>
      <c r="G210" s="44">
        <f>$I$3</f>
        <v/>
      </c>
      <c r="H210" s="45">
        <f>IF(F210="","",F210+$I$3)</f>
        <v/>
      </c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0" t="inlineStr">
        <is>
          <t>Forging</t>
        </is>
      </c>
      <c r="B211" s="47" t="inlineStr"/>
      <c r="C211" s="18" t="n">
        <v>80</v>
      </c>
      <c r="D211" s="18" t="n">
        <v>130</v>
      </c>
      <c r="E211" s="48" t="inlineStr">
        <is>
          <t>80x130</t>
        </is>
      </c>
      <c r="F211" s="49" t="n"/>
      <c r="G211" s="49">
        <f>$I$3</f>
        <v/>
      </c>
      <c r="H211" s="50">
        <f>IF(F211="","",F211+$I$3)</f>
        <v/>
      </c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16" t="inlineStr">
        <is>
          <t>Forging</t>
        </is>
      </c>
      <c r="B212" s="42" t="inlineStr"/>
      <c r="C212" s="14" t="n">
        <v>80</v>
      </c>
      <c r="D212" s="14" t="n">
        <v>155</v>
      </c>
      <c r="E212" s="43" t="inlineStr">
        <is>
          <t>80x155</t>
        </is>
      </c>
      <c r="F212" s="44" t="n"/>
      <c r="G212" s="44">
        <f>$I$3</f>
        <v/>
      </c>
      <c r="H212" s="45">
        <f>IF(F212="","",F212+$I$3)</f>
        <v/>
      </c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0" t="inlineStr">
        <is>
          <t>Forging</t>
        </is>
      </c>
      <c r="B213" s="47" t="inlineStr"/>
      <c r="C213" s="18" t="n">
        <v>80</v>
      </c>
      <c r="D213" s="18" t="n">
        <v>200</v>
      </c>
      <c r="E213" s="48" t="inlineStr">
        <is>
          <t>80x200</t>
        </is>
      </c>
      <c r="F213" s="49" t="n"/>
      <c r="G213" s="49">
        <f>$I$3</f>
        <v/>
      </c>
      <c r="H213" s="50">
        <f>IF(F213="","",F213+$I$3)</f>
        <v/>
      </c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16" t="inlineStr">
        <is>
          <t>Forging</t>
        </is>
      </c>
      <c r="B214" s="42" t="inlineStr"/>
      <c r="C214" s="14" t="n">
        <v>80</v>
      </c>
      <c r="D214" s="14" t="n">
        <v>250</v>
      </c>
      <c r="E214" s="43" t="inlineStr">
        <is>
          <t>80x250</t>
        </is>
      </c>
      <c r="F214" s="44" t="n"/>
      <c r="G214" s="44">
        <f>$I$3</f>
        <v/>
      </c>
      <c r="H214" s="45">
        <f>IF(F214="","",F214+$I$3)</f>
        <v/>
      </c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0" t="inlineStr">
        <is>
          <t>Forging</t>
        </is>
      </c>
      <c r="B215" s="47" t="inlineStr"/>
      <c r="C215" s="18" t="n">
        <v>80</v>
      </c>
      <c r="D215" s="18" t="n">
        <v>305</v>
      </c>
      <c r="E215" s="48" t="inlineStr">
        <is>
          <t>80x305</t>
        </is>
      </c>
      <c r="F215" s="49" t="n"/>
      <c r="G215" s="49">
        <f>$I$3</f>
        <v/>
      </c>
      <c r="H215" s="50">
        <f>IF(F215="","",F215+$I$3)</f>
        <v/>
      </c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16" t="inlineStr">
        <is>
          <t>Forging</t>
        </is>
      </c>
      <c r="B216" s="42" t="inlineStr"/>
      <c r="C216" s="14" t="n">
        <v>80</v>
      </c>
      <c r="D216" s="14" t="n">
        <v>355</v>
      </c>
      <c r="E216" s="43" t="inlineStr">
        <is>
          <t>80x355</t>
        </is>
      </c>
      <c r="F216" s="44" t="n"/>
      <c r="G216" s="44">
        <f>$I$3</f>
        <v/>
      </c>
      <c r="H216" s="45">
        <f>IF(F216="","",F216+$I$3)</f>
        <v/>
      </c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0" t="inlineStr">
        <is>
          <t>Forging</t>
        </is>
      </c>
      <c r="B217" s="47" t="inlineStr"/>
      <c r="C217" s="18" t="n">
        <v>80</v>
      </c>
      <c r="D217" s="18" t="n">
        <v>410</v>
      </c>
      <c r="E217" s="48" t="inlineStr">
        <is>
          <t>80x410</t>
        </is>
      </c>
      <c r="F217" s="49" t="n"/>
      <c r="G217" s="49">
        <f>$I$3</f>
        <v/>
      </c>
      <c r="H217" s="50">
        <f>IF(F217="","",F217+$I$3)</f>
        <v/>
      </c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16" t="inlineStr">
        <is>
          <t>Forging</t>
        </is>
      </c>
      <c r="B218" s="42" t="inlineStr"/>
      <c r="C218" s="14" t="n">
        <v>105</v>
      </c>
      <c r="D218" s="14" t="n">
        <v>130</v>
      </c>
      <c r="E218" s="43" t="inlineStr">
        <is>
          <t>105x130</t>
        </is>
      </c>
      <c r="F218" s="44" t="n"/>
      <c r="G218" s="44">
        <f>$I$3</f>
        <v/>
      </c>
      <c r="H218" s="45">
        <f>IF(F218="","",F218+$I$3)</f>
        <v/>
      </c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0" t="inlineStr">
        <is>
          <t>Forging</t>
        </is>
      </c>
      <c r="B219" s="47" t="inlineStr"/>
      <c r="C219" s="18" t="n">
        <v>105</v>
      </c>
      <c r="D219" s="18" t="n">
        <v>155</v>
      </c>
      <c r="E219" s="48" t="inlineStr">
        <is>
          <t>105x155</t>
        </is>
      </c>
      <c r="F219" s="49" t="n"/>
      <c r="G219" s="49">
        <f>$I$3</f>
        <v/>
      </c>
      <c r="H219" s="50">
        <f>IF(F219="","",F219+$I$3)</f>
        <v/>
      </c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16" t="inlineStr">
        <is>
          <t>Forging</t>
        </is>
      </c>
      <c r="B220" s="42" t="inlineStr"/>
      <c r="C220" s="14" t="n">
        <v>105</v>
      </c>
      <c r="D220" s="14" t="n">
        <v>200</v>
      </c>
      <c r="E220" s="43" t="inlineStr">
        <is>
          <t>105x200</t>
        </is>
      </c>
      <c r="F220" s="44" t="n"/>
      <c r="G220" s="44">
        <f>$I$3</f>
        <v/>
      </c>
      <c r="H220" s="45">
        <f>IF(F220="","",F220+$I$3)</f>
        <v/>
      </c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0" t="inlineStr">
        <is>
          <t>Forging</t>
        </is>
      </c>
      <c r="B221" s="47" t="inlineStr"/>
      <c r="C221" s="18" t="n">
        <v>105</v>
      </c>
      <c r="D221" s="18" t="n">
        <v>250</v>
      </c>
      <c r="E221" s="48" t="inlineStr">
        <is>
          <t>105x250</t>
        </is>
      </c>
      <c r="F221" s="49" t="n"/>
      <c r="G221" s="49">
        <f>$I$3</f>
        <v/>
      </c>
      <c r="H221" s="50">
        <f>IF(F221="","",F221+$I$3)</f>
        <v/>
      </c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16" t="inlineStr">
        <is>
          <t>Forging</t>
        </is>
      </c>
      <c r="B222" s="42" t="inlineStr"/>
      <c r="C222" s="14" t="n">
        <v>105</v>
      </c>
      <c r="D222" s="14" t="n">
        <v>305</v>
      </c>
      <c r="E222" s="43" t="inlineStr">
        <is>
          <t>105x305</t>
        </is>
      </c>
      <c r="F222" s="44" t="n"/>
      <c r="G222" s="44">
        <f>$I$3</f>
        <v/>
      </c>
      <c r="H222" s="45">
        <f>IF(F222="","",F222+$I$3)</f>
        <v/>
      </c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0" t="inlineStr">
        <is>
          <t>Forging</t>
        </is>
      </c>
      <c r="B223" s="47" t="inlineStr"/>
      <c r="C223" s="18" t="n">
        <v>105</v>
      </c>
      <c r="D223" s="18" t="n">
        <v>355</v>
      </c>
      <c r="E223" s="48" t="inlineStr">
        <is>
          <t>105x355</t>
        </is>
      </c>
      <c r="F223" s="49" t="n"/>
      <c r="G223" s="49">
        <f>$I$3</f>
        <v/>
      </c>
      <c r="H223" s="50">
        <f>IF(F223="","",F223+$I$3)</f>
        <v/>
      </c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16" t="inlineStr">
        <is>
          <t>Forging</t>
        </is>
      </c>
      <c r="B224" s="42" t="inlineStr"/>
      <c r="C224" s="14" t="n">
        <v>105</v>
      </c>
      <c r="D224" s="14" t="n">
        <v>410</v>
      </c>
      <c r="E224" s="43" t="inlineStr">
        <is>
          <t>105x410</t>
        </is>
      </c>
      <c r="F224" s="44" t="n"/>
      <c r="G224" s="44">
        <f>$I$3</f>
        <v/>
      </c>
      <c r="H224" s="45">
        <f>IF(F224="","",F224+$I$3)</f>
        <v/>
      </c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0" t="inlineStr"/>
      <c r="B225" s="47" t="inlineStr"/>
      <c r="C225" s="18">
        <f>IF($M$2&lt;&gt;"Flat Bar","",LET(k,IFERROR(INDEX(LET(cat,$E$121:$E$224,box,VSTACK($P$2,$L$7:$L$26),live,UNIQUE(FILTER(VSTACK(cat,box),VSTACK(cat,box)&lt;&gt;"")),FILTER(live,COUNTIF(cat,live)=0)),1),""),t,SUBSTITUTE(SUBSTITUTE(TRIM(k&amp;"")," ",""),"×","x"),IF(OR(k="",ISNUMBER(k)),"",IFERROR(VALUE(LEFT(t,FIND("x",t)-1)),""))))</f>
        <v/>
      </c>
      <c r="D225" s="18">
        <f>IF($M$2&lt;&gt;"Flat Bar","",LET(k,IFERROR(INDEX(LET(cat,$E$121:$E$224,box,VSTACK($P$2,$L$7:$L$26),live,UNIQUE(FILTER(VSTACK(cat,box),VSTACK(cat,box)&lt;&gt;"")),FILTER(live,COUNTIF(cat,live)=0)),1),""),t,SUBSTITUTE(SUBSTITUTE(TRIM(k&amp;"")," ",""),"×","x"),IF(OR(k="",ISNUMBER(k)),"",IFERROR(VALUE(MID(t,FIND("x",t)+1,32)),""))))</f>
        <v/>
      </c>
      <c r="E225" s="48">
        <f>IF($M$2&lt;&gt;"Flat Bar","",IFERROR(INDEX(LET(cat,$E$121:$E$224,box,VSTACK($P$2,$L$7:$L$26),live,UNIQUE(FILTER(VSTACK(cat,box),VSTACK(cat,box)&lt;&gt;"")),FILTER(live,COUNTIF(cat,live)=0)),1),""))</f>
        <v/>
      </c>
      <c r="F225" s="49" t="n"/>
      <c r="G225" s="49">
        <f>$I$3</f>
        <v/>
      </c>
      <c r="H225" s="50">
        <f>IF(F225="","",F225+$I$3)</f>
        <v/>
      </c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16" t="inlineStr"/>
      <c r="B226" s="42" t="inlineStr"/>
      <c r="C226" s="14">
        <f>IF($M$2&lt;&gt;"Flat Bar","",LET(k,IFERROR(INDEX(LET(cat,$E$121:$E$224,box,VSTACK($P$2,$L$7:$L$26),live,UNIQUE(FILTER(VSTACK(cat,box),VSTACK(cat,box)&lt;&gt;"")),FILTER(live,COUNTIF(cat,live)=0)),2),""),t,SUBSTITUTE(SUBSTITUTE(TRIM(k&amp;"")," ",""),"×","x"),IF(OR(k="",ISNUMBER(k)),"",IFERROR(VALUE(LEFT(t,FIND("x",t)-1)),""))))</f>
        <v/>
      </c>
      <c r="D226" s="14">
        <f>IF($M$2&lt;&gt;"Flat Bar","",LET(k,IFERROR(INDEX(LET(cat,$E$121:$E$224,box,VSTACK($P$2,$L$7:$L$26),live,UNIQUE(FILTER(VSTACK(cat,box),VSTACK(cat,box)&lt;&gt;"")),FILTER(live,COUNTIF(cat,live)=0)),2),""),t,SUBSTITUTE(SUBSTITUTE(TRIM(k&amp;"")," ",""),"×","x"),IF(OR(k="",ISNUMBER(k)),"",IFERROR(VALUE(MID(t,FIND("x",t)+1,32)),""))))</f>
        <v/>
      </c>
      <c r="E226" s="43">
        <f>IF($M$2&lt;&gt;"Flat Bar","",IFERROR(INDEX(LET(cat,$E$121:$E$224,box,VSTACK($P$2,$L$7:$L$26),live,UNIQUE(FILTER(VSTACK(cat,box),VSTACK(cat,box)&lt;&gt;"")),FILTER(live,COUNTIF(cat,live)=0)),2),""))</f>
        <v/>
      </c>
      <c r="F226" s="44" t="n"/>
      <c r="G226" s="44">
        <f>$I$3</f>
        <v/>
      </c>
      <c r="H226" s="45">
        <f>IF(F226="","",F226+$I$3)</f>
        <v/>
      </c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0" t="inlineStr"/>
      <c r="B227" s="47" t="inlineStr"/>
      <c r="C227" s="18">
        <f>IF($M$2&lt;&gt;"Flat Bar","",LET(k,IFERROR(INDEX(LET(cat,$E$121:$E$224,box,VSTACK($P$2,$L$7:$L$26),live,UNIQUE(FILTER(VSTACK(cat,box),VSTACK(cat,box)&lt;&gt;"")),FILTER(live,COUNTIF(cat,live)=0)),3),""),t,SUBSTITUTE(SUBSTITUTE(TRIM(k&amp;"")," ",""),"×","x"),IF(OR(k="",ISNUMBER(k)),"",IFERROR(VALUE(LEFT(t,FIND("x",t)-1)),""))))</f>
        <v/>
      </c>
      <c r="D227" s="18">
        <f>IF($M$2&lt;&gt;"Flat Bar","",LET(k,IFERROR(INDEX(LET(cat,$E$121:$E$224,box,VSTACK($P$2,$L$7:$L$26),live,UNIQUE(FILTER(VSTACK(cat,box),VSTACK(cat,box)&lt;&gt;"")),FILTER(live,COUNTIF(cat,live)=0)),3),""),t,SUBSTITUTE(SUBSTITUTE(TRIM(k&amp;"")," ",""),"×","x"),IF(OR(k="",ISNUMBER(k)),"",IFERROR(VALUE(MID(t,FIND("x",t)+1,32)),""))))</f>
        <v/>
      </c>
      <c r="E227" s="48">
        <f>IF($M$2&lt;&gt;"Flat Bar","",IFERROR(INDEX(LET(cat,$E$121:$E$224,box,VSTACK($P$2,$L$7:$L$26),live,UNIQUE(FILTER(VSTACK(cat,box),VSTACK(cat,box)&lt;&gt;"")),FILTER(live,COUNTIF(cat,live)=0)),3),""))</f>
        <v/>
      </c>
      <c r="F227" s="49" t="n"/>
      <c r="G227" s="49">
        <f>$I$3</f>
        <v/>
      </c>
      <c r="H227" s="50">
        <f>IF(F227="","",F227+$I$3)</f>
        <v/>
      </c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16" t="inlineStr"/>
      <c r="B228" s="42" t="inlineStr"/>
      <c r="C228" s="14">
        <f>IF($M$2&lt;&gt;"Flat Bar","",LET(k,IFERROR(INDEX(LET(cat,$E$121:$E$224,box,VSTACK($P$2,$L$7:$L$26),live,UNIQUE(FILTER(VSTACK(cat,box),VSTACK(cat,box)&lt;&gt;"")),FILTER(live,COUNTIF(cat,live)=0)),4),""),t,SUBSTITUTE(SUBSTITUTE(TRIM(k&amp;"")," ",""),"×","x"),IF(OR(k="",ISNUMBER(k)),"",IFERROR(VALUE(LEFT(t,FIND("x",t)-1)),""))))</f>
        <v/>
      </c>
      <c r="D228" s="14">
        <f>IF($M$2&lt;&gt;"Flat Bar","",LET(k,IFERROR(INDEX(LET(cat,$E$121:$E$224,box,VSTACK($P$2,$L$7:$L$26),live,UNIQUE(FILTER(VSTACK(cat,box),VSTACK(cat,box)&lt;&gt;"")),FILTER(live,COUNTIF(cat,live)=0)),4),""),t,SUBSTITUTE(SUBSTITUTE(TRIM(k&amp;"")," ",""),"×","x"),IF(OR(k="",ISNUMBER(k)),"",IFERROR(VALUE(MID(t,FIND("x",t)+1,32)),""))))</f>
        <v/>
      </c>
      <c r="E228" s="43">
        <f>IF($M$2&lt;&gt;"Flat Bar","",IFERROR(INDEX(LET(cat,$E$121:$E$224,box,VSTACK($P$2,$L$7:$L$26),live,UNIQUE(FILTER(VSTACK(cat,box),VSTACK(cat,box)&lt;&gt;"")),FILTER(live,COUNTIF(cat,live)=0)),4),""))</f>
        <v/>
      </c>
      <c r="F228" s="44" t="n"/>
      <c r="G228" s="44">
        <f>$I$3</f>
        <v/>
      </c>
      <c r="H228" s="45">
        <f>IF(F228="","",F228+$I$3)</f>
        <v/>
      </c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0" t="inlineStr"/>
      <c r="B229" s="47" t="inlineStr"/>
      <c r="C229" s="18">
        <f>IF($M$2&lt;&gt;"Flat Bar","",LET(k,IFERROR(INDEX(LET(cat,$E$121:$E$224,box,VSTACK($P$2,$L$7:$L$26),live,UNIQUE(FILTER(VSTACK(cat,box),VSTACK(cat,box)&lt;&gt;"")),FILTER(live,COUNTIF(cat,live)=0)),5),""),t,SUBSTITUTE(SUBSTITUTE(TRIM(k&amp;"")," ",""),"×","x"),IF(OR(k="",ISNUMBER(k)),"",IFERROR(VALUE(LEFT(t,FIND("x",t)-1)),""))))</f>
        <v/>
      </c>
      <c r="D229" s="18">
        <f>IF($M$2&lt;&gt;"Flat Bar","",LET(k,IFERROR(INDEX(LET(cat,$E$121:$E$224,box,VSTACK($P$2,$L$7:$L$26),live,UNIQUE(FILTER(VSTACK(cat,box),VSTACK(cat,box)&lt;&gt;"")),FILTER(live,COUNTIF(cat,live)=0)),5),""),t,SUBSTITUTE(SUBSTITUTE(TRIM(k&amp;"")," ",""),"×","x"),IF(OR(k="",ISNUMBER(k)),"",IFERROR(VALUE(MID(t,FIND("x",t)+1,32)),""))))</f>
        <v/>
      </c>
      <c r="E229" s="48">
        <f>IF($M$2&lt;&gt;"Flat Bar","",IFERROR(INDEX(LET(cat,$E$121:$E$224,box,VSTACK($P$2,$L$7:$L$26),live,UNIQUE(FILTER(VSTACK(cat,box),VSTACK(cat,box)&lt;&gt;"")),FILTER(live,COUNTIF(cat,live)=0)),5),""))</f>
        <v/>
      </c>
      <c r="F229" s="49" t="n"/>
      <c r="G229" s="49">
        <f>$I$3</f>
        <v/>
      </c>
      <c r="H229" s="50">
        <f>IF(F229="","",F229+$I$3)</f>
        <v/>
      </c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16" t="inlineStr"/>
      <c r="B230" s="42" t="inlineStr"/>
      <c r="C230" s="14">
        <f>IF($M$2&lt;&gt;"Flat Bar","",LET(k,IFERROR(INDEX(LET(cat,$E$121:$E$224,box,VSTACK($P$2,$L$7:$L$26),live,UNIQUE(FILTER(VSTACK(cat,box),VSTACK(cat,box)&lt;&gt;"")),FILTER(live,COUNTIF(cat,live)=0)),6),""),t,SUBSTITUTE(SUBSTITUTE(TRIM(k&amp;"")," ",""),"×","x"),IF(OR(k="",ISNUMBER(k)),"",IFERROR(VALUE(LEFT(t,FIND("x",t)-1)),""))))</f>
        <v/>
      </c>
      <c r="D230" s="14">
        <f>IF($M$2&lt;&gt;"Flat Bar","",LET(k,IFERROR(INDEX(LET(cat,$E$121:$E$224,box,VSTACK($P$2,$L$7:$L$26),live,UNIQUE(FILTER(VSTACK(cat,box),VSTACK(cat,box)&lt;&gt;"")),FILTER(live,COUNTIF(cat,live)=0)),6),""),t,SUBSTITUTE(SUBSTITUTE(TRIM(k&amp;"")," ",""),"×","x"),IF(OR(k="",ISNUMBER(k)),"",IFERROR(VALUE(MID(t,FIND("x",t)+1,32)),""))))</f>
        <v/>
      </c>
      <c r="E230" s="43">
        <f>IF($M$2&lt;&gt;"Flat Bar","",IFERROR(INDEX(LET(cat,$E$121:$E$224,box,VSTACK($P$2,$L$7:$L$26),live,UNIQUE(FILTER(VSTACK(cat,box),VSTACK(cat,box)&lt;&gt;"")),FILTER(live,COUNTIF(cat,live)=0)),6),""))</f>
        <v/>
      </c>
      <c r="F230" s="44" t="n"/>
      <c r="G230" s="44">
        <f>$I$3</f>
        <v/>
      </c>
      <c r="H230" s="45">
        <f>IF(F230="","",F230+$I$3)</f>
        <v/>
      </c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0" t="inlineStr"/>
      <c r="B231" s="47" t="inlineStr"/>
      <c r="C231" s="18">
        <f>IF($M$2&lt;&gt;"Flat Bar","",LET(k,IFERROR(INDEX(LET(cat,$E$121:$E$224,box,VSTACK($P$2,$L$7:$L$26),live,UNIQUE(FILTER(VSTACK(cat,box),VSTACK(cat,box)&lt;&gt;"")),FILTER(live,COUNTIF(cat,live)=0)),7),""),t,SUBSTITUTE(SUBSTITUTE(TRIM(k&amp;"")," ",""),"×","x"),IF(OR(k="",ISNUMBER(k)),"",IFERROR(VALUE(LEFT(t,FIND("x",t)-1)),""))))</f>
        <v/>
      </c>
      <c r="D231" s="18">
        <f>IF($M$2&lt;&gt;"Flat Bar","",LET(k,IFERROR(INDEX(LET(cat,$E$121:$E$224,box,VSTACK($P$2,$L$7:$L$26),live,UNIQUE(FILTER(VSTACK(cat,box),VSTACK(cat,box)&lt;&gt;"")),FILTER(live,COUNTIF(cat,live)=0)),7),""),t,SUBSTITUTE(SUBSTITUTE(TRIM(k&amp;"")," ",""),"×","x"),IF(OR(k="",ISNUMBER(k)),"",IFERROR(VALUE(MID(t,FIND("x",t)+1,32)),""))))</f>
        <v/>
      </c>
      <c r="E231" s="48">
        <f>IF($M$2&lt;&gt;"Flat Bar","",IFERROR(INDEX(LET(cat,$E$121:$E$224,box,VSTACK($P$2,$L$7:$L$26),live,UNIQUE(FILTER(VSTACK(cat,box),VSTACK(cat,box)&lt;&gt;"")),FILTER(live,COUNTIF(cat,live)=0)),7),""))</f>
        <v/>
      </c>
      <c r="F231" s="49" t="n"/>
      <c r="G231" s="49">
        <f>$I$3</f>
        <v/>
      </c>
      <c r="H231" s="50">
        <f>IF(F231="","",F231+$I$3)</f>
        <v/>
      </c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16" t="inlineStr"/>
      <c r="B232" s="42" t="inlineStr"/>
      <c r="C232" s="14">
        <f>IF($M$2&lt;&gt;"Flat Bar","",LET(k,IFERROR(INDEX(LET(cat,$E$121:$E$224,box,VSTACK($P$2,$L$7:$L$26),live,UNIQUE(FILTER(VSTACK(cat,box),VSTACK(cat,box)&lt;&gt;"")),FILTER(live,COUNTIF(cat,live)=0)),8),""),t,SUBSTITUTE(SUBSTITUTE(TRIM(k&amp;"")," ",""),"×","x"),IF(OR(k="",ISNUMBER(k)),"",IFERROR(VALUE(LEFT(t,FIND("x",t)-1)),""))))</f>
        <v/>
      </c>
      <c r="D232" s="14">
        <f>IF($M$2&lt;&gt;"Flat Bar","",LET(k,IFERROR(INDEX(LET(cat,$E$121:$E$224,box,VSTACK($P$2,$L$7:$L$26),live,UNIQUE(FILTER(VSTACK(cat,box),VSTACK(cat,box)&lt;&gt;"")),FILTER(live,COUNTIF(cat,live)=0)),8),""),t,SUBSTITUTE(SUBSTITUTE(TRIM(k&amp;"")," ",""),"×","x"),IF(OR(k="",ISNUMBER(k)),"",IFERROR(VALUE(MID(t,FIND("x",t)+1,32)),""))))</f>
        <v/>
      </c>
      <c r="E232" s="43">
        <f>IF($M$2&lt;&gt;"Flat Bar","",IFERROR(INDEX(LET(cat,$E$121:$E$224,box,VSTACK($P$2,$L$7:$L$26),live,UNIQUE(FILTER(VSTACK(cat,box),VSTACK(cat,box)&lt;&gt;"")),FILTER(live,COUNTIF(cat,live)=0)),8),""))</f>
        <v/>
      </c>
      <c r="F232" s="44" t="n"/>
      <c r="G232" s="44">
        <f>$I$3</f>
        <v/>
      </c>
      <c r="H232" s="45">
        <f>IF(F232="","",F232+$I$3)</f>
        <v/>
      </c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0" t="inlineStr"/>
      <c r="B233" s="47" t="inlineStr"/>
      <c r="C233" s="18">
        <f>IF($M$2&lt;&gt;"Flat Bar","",LET(k,IFERROR(INDEX(LET(cat,$E$121:$E$224,box,VSTACK($P$2,$L$7:$L$26),live,UNIQUE(FILTER(VSTACK(cat,box),VSTACK(cat,box)&lt;&gt;"")),FILTER(live,COUNTIF(cat,live)=0)),9),""),t,SUBSTITUTE(SUBSTITUTE(TRIM(k&amp;"")," ",""),"×","x"),IF(OR(k="",ISNUMBER(k)),"",IFERROR(VALUE(LEFT(t,FIND("x",t)-1)),""))))</f>
        <v/>
      </c>
      <c r="D233" s="18">
        <f>IF($M$2&lt;&gt;"Flat Bar","",LET(k,IFERROR(INDEX(LET(cat,$E$121:$E$224,box,VSTACK($P$2,$L$7:$L$26),live,UNIQUE(FILTER(VSTACK(cat,box),VSTACK(cat,box)&lt;&gt;"")),FILTER(live,COUNTIF(cat,live)=0)),9),""),t,SUBSTITUTE(SUBSTITUTE(TRIM(k&amp;"")," ",""),"×","x"),IF(OR(k="",ISNUMBER(k)),"",IFERROR(VALUE(MID(t,FIND("x",t)+1,32)),""))))</f>
        <v/>
      </c>
      <c r="E233" s="48">
        <f>IF($M$2&lt;&gt;"Flat Bar","",IFERROR(INDEX(LET(cat,$E$121:$E$224,box,VSTACK($P$2,$L$7:$L$26),live,UNIQUE(FILTER(VSTACK(cat,box),VSTACK(cat,box)&lt;&gt;"")),FILTER(live,COUNTIF(cat,live)=0)),9),""))</f>
        <v/>
      </c>
      <c r="F233" s="49" t="n"/>
      <c r="G233" s="49">
        <f>$I$3</f>
        <v/>
      </c>
      <c r="H233" s="50">
        <f>IF(F233="","",F233+$I$3)</f>
        <v/>
      </c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16" t="inlineStr"/>
      <c r="B234" s="42" t="inlineStr"/>
      <c r="C234" s="14">
        <f>IF($M$2&lt;&gt;"Flat Bar","",LET(k,IFERROR(INDEX(LET(cat,$E$121:$E$224,box,VSTACK($P$2,$L$7:$L$26),live,UNIQUE(FILTER(VSTACK(cat,box),VSTACK(cat,box)&lt;&gt;"")),FILTER(live,COUNTIF(cat,live)=0)),10),""),t,SUBSTITUTE(SUBSTITUTE(TRIM(k&amp;"")," ",""),"×","x"),IF(OR(k="",ISNUMBER(k)),"",IFERROR(VALUE(LEFT(t,FIND("x",t)-1)),""))))</f>
        <v/>
      </c>
      <c r="D234" s="14">
        <f>IF($M$2&lt;&gt;"Flat Bar","",LET(k,IFERROR(INDEX(LET(cat,$E$121:$E$224,box,VSTACK($P$2,$L$7:$L$26),live,UNIQUE(FILTER(VSTACK(cat,box),VSTACK(cat,box)&lt;&gt;"")),FILTER(live,COUNTIF(cat,live)=0)),10),""),t,SUBSTITUTE(SUBSTITUTE(TRIM(k&amp;"")," ",""),"×","x"),IF(OR(k="",ISNUMBER(k)),"",IFERROR(VALUE(MID(t,FIND("x",t)+1,32)),""))))</f>
        <v/>
      </c>
      <c r="E234" s="43">
        <f>IF($M$2&lt;&gt;"Flat Bar","",IFERROR(INDEX(LET(cat,$E$121:$E$224,box,VSTACK($P$2,$L$7:$L$26),live,UNIQUE(FILTER(VSTACK(cat,box),VSTACK(cat,box)&lt;&gt;"")),FILTER(live,COUNTIF(cat,live)=0)),10),""))</f>
        <v/>
      </c>
      <c r="F234" s="44" t="n"/>
      <c r="G234" s="44">
        <f>$I$3</f>
        <v/>
      </c>
      <c r="H234" s="45">
        <f>IF(F234="","",F234+$I$3)</f>
        <v/>
      </c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0" t="inlineStr"/>
      <c r="B235" s="47" t="inlineStr"/>
      <c r="C235" s="18">
        <f>IF($M$2&lt;&gt;"Flat Bar","",LET(k,IFERROR(INDEX(LET(cat,$E$121:$E$224,box,VSTACK($P$2,$L$7:$L$26),live,UNIQUE(FILTER(VSTACK(cat,box),VSTACK(cat,box)&lt;&gt;"")),FILTER(live,COUNTIF(cat,live)=0)),11),""),t,SUBSTITUTE(SUBSTITUTE(TRIM(k&amp;"")," ",""),"×","x"),IF(OR(k="",ISNUMBER(k)),"",IFERROR(VALUE(LEFT(t,FIND("x",t)-1)),""))))</f>
        <v/>
      </c>
      <c r="D235" s="18">
        <f>IF($M$2&lt;&gt;"Flat Bar","",LET(k,IFERROR(INDEX(LET(cat,$E$121:$E$224,box,VSTACK($P$2,$L$7:$L$26),live,UNIQUE(FILTER(VSTACK(cat,box),VSTACK(cat,box)&lt;&gt;"")),FILTER(live,COUNTIF(cat,live)=0)),11),""),t,SUBSTITUTE(SUBSTITUTE(TRIM(k&amp;"")," ",""),"×","x"),IF(OR(k="",ISNUMBER(k)),"",IFERROR(VALUE(MID(t,FIND("x",t)+1,32)),""))))</f>
        <v/>
      </c>
      <c r="E235" s="48">
        <f>IF($M$2&lt;&gt;"Flat Bar","",IFERROR(INDEX(LET(cat,$E$121:$E$224,box,VSTACK($P$2,$L$7:$L$26),live,UNIQUE(FILTER(VSTACK(cat,box),VSTACK(cat,box)&lt;&gt;"")),FILTER(live,COUNTIF(cat,live)=0)),11),""))</f>
        <v/>
      </c>
      <c r="F235" s="49" t="n"/>
      <c r="G235" s="49">
        <f>$I$3</f>
        <v/>
      </c>
      <c r="H235" s="50">
        <f>IF(F235="","",F235+$I$3)</f>
        <v/>
      </c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16" t="inlineStr"/>
      <c r="B236" s="42" t="inlineStr"/>
      <c r="C236" s="14">
        <f>IF($M$2&lt;&gt;"Flat Bar","",LET(k,IFERROR(INDEX(LET(cat,$E$121:$E$224,box,VSTACK($P$2,$L$7:$L$26),live,UNIQUE(FILTER(VSTACK(cat,box),VSTACK(cat,box)&lt;&gt;"")),FILTER(live,COUNTIF(cat,live)=0)),12),""),t,SUBSTITUTE(SUBSTITUTE(TRIM(k&amp;"")," ",""),"×","x"),IF(OR(k="",ISNUMBER(k)),"",IFERROR(VALUE(LEFT(t,FIND("x",t)-1)),""))))</f>
        <v/>
      </c>
      <c r="D236" s="14">
        <f>IF($M$2&lt;&gt;"Flat Bar","",LET(k,IFERROR(INDEX(LET(cat,$E$121:$E$224,box,VSTACK($P$2,$L$7:$L$26),live,UNIQUE(FILTER(VSTACK(cat,box),VSTACK(cat,box)&lt;&gt;"")),FILTER(live,COUNTIF(cat,live)=0)),12),""),t,SUBSTITUTE(SUBSTITUTE(TRIM(k&amp;"")," ",""),"×","x"),IF(OR(k="",ISNUMBER(k)),"",IFERROR(VALUE(MID(t,FIND("x",t)+1,32)),""))))</f>
        <v/>
      </c>
      <c r="E236" s="43">
        <f>IF($M$2&lt;&gt;"Flat Bar","",IFERROR(INDEX(LET(cat,$E$121:$E$224,box,VSTACK($P$2,$L$7:$L$26),live,UNIQUE(FILTER(VSTACK(cat,box),VSTACK(cat,box)&lt;&gt;"")),FILTER(live,COUNTIF(cat,live)=0)),12),""))</f>
        <v/>
      </c>
      <c r="F236" s="44" t="n"/>
      <c r="G236" s="44">
        <f>$I$3</f>
        <v/>
      </c>
      <c r="H236" s="45">
        <f>IF(F236="","",F236+$I$3)</f>
        <v/>
      </c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0" t="inlineStr"/>
      <c r="B237" s="47" t="inlineStr"/>
      <c r="C237" s="18">
        <f>IF($M$2&lt;&gt;"Flat Bar","",LET(k,IFERROR(INDEX(LET(cat,$E$121:$E$224,box,VSTACK($P$2,$L$7:$L$26),live,UNIQUE(FILTER(VSTACK(cat,box),VSTACK(cat,box)&lt;&gt;"")),FILTER(live,COUNTIF(cat,live)=0)),13),""),t,SUBSTITUTE(SUBSTITUTE(TRIM(k&amp;"")," ",""),"×","x"),IF(OR(k="",ISNUMBER(k)),"",IFERROR(VALUE(LEFT(t,FIND("x",t)-1)),""))))</f>
        <v/>
      </c>
      <c r="D237" s="18">
        <f>IF($M$2&lt;&gt;"Flat Bar","",LET(k,IFERROR(INDEX(LET(cat,$E$121:$E$224,box,VSTACK($P$2,$L$7:$L$26),live,UNIQUE(FILTER(VSTACK(cat,box),VSTACK(cat,box)&lt;&gt;"")),FILTER(live,COUNTIF(cat,live)=0)),13),""),t,SUBSTITUTE(SUBSTITUTE(TRIM(k&amp;"")," ",""),"×","x"),IF(OR(k="",ISNUMBER(k)),"",IFERROR(VALUE(MID(t,FIND("x",t)+1,32)),""))))</f>
        <v/>
      </c>
      <c r="E237" s="48">
        <f>IF($M$2&lt;&gt;"Flat Bar","",IFERROR(INDEX(LET(cat,$E$121:$E$224,box,VSTACK($P$2,$L$7:$L$26),live,UNIQUE(FILTER(VSTACK(cat,box),VSTACK(cat,box)&lt;&gt;"")),FILTER(live,COUNTIF(cat,live)=0)),13),""))</f>
        <v/>
      </c>
      <c r="F237" s="49" t="n"/>
      <c r="G237" s="49">
        <f>$I$3</f>
        <v/>
      </c>
      <c r="H237" s="50">
        <f>IF(F237="","",F237+$I$3)</f>
        <v/>
      </c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16" t="inlineStr"/>
      <c r="B238" s="42" t="inlineStr"/>
      <c r="C238" s="14">
        <f>IF($M$2&lt;&gt;"Flat Bar","",LET(k,IFERROR(INDEX(LET(cat,$E$121:$E$224,box,VSTACK($P$2,$L$7:$L$26),live,UNIQUE(FILTER(VSTACK(cat,box),VSTACK(cat,box)&lt;&gt;"")),FILTER(live,COUNTIF(cat,live)=0)),14),""),t,SUBSTITUTE(SUBSTITUTE(TRIM(k&amp;"")," ",""),"×","x"),IF(OR(k="",ISNUMBER(k)),"",IFERROR(VALUE(LEFT(t,FIND("x",t)-1)),""))))</f>
        <v/>
      </c>
      <c r="D238" s="14">
        <f>IF($M$2&lt;&gt;"Flat Bar","",LET(k,IFERROR(INDEX(LET(cat,$E$121:$E$224,box,VSTACK($P$2,$L$7:$L$26),live,UNIQUE(FILTER(VSTACK(cat,box),VSTACK(cat,box)&lt;&gt;"")),FILTER(live,COUNTIF(cat,live)=0)),14),""),t,SUBSTITUTE(SUBSTITUTE(TRIM(k&amp;"")," ",""),"×","x"),IF(OR(k="",ISNUMBER(k)),"",IFERROR(VALUE(MID(t,FIND("x",t)+1,32)),""))))</f>
        <v/>
      </c>
      <c r="E238" s="43">
        <f>IF($M$2&lt;&gt;"Flat Bar","",IFERROR(INDEX(LET(cat,$E$121:$E$224,box,VSTACK($P$2,$L$7:$L$26),live,UNIQUE(FILTER(VSTACK(cat,box),VSTACK(cat,box)&lt;&gt;"")),FILTER(live,COUNTIF(cat,live)=0)),14),""))</f>
        <v/>
      </c>
      <c r="F238" s="44" t="n"/>
      <c r="G238" s="44">
        <f>$I$3</f>
        <v/>
      </c>
      <c r="H238" s="45">
        <f>IF(F238="","",F238+$I$3)</f>
        <v/>
      </c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0" t="inlineStr"/>
      <c r="B239" s="47" t="inlineStr"/>
      <c r="C239" s="18">
        <f>IF($M$2&lt;&gt;"Flat Bar","",LET(k,IFERROR(INDEX(LET(cat,$E$121:$E$224,box,VSTACK($P$2,$L$7:$L$26),live,UNIQUE(FILTER(VSTACK(cat,box),VSTACK(cat,box)&lt;&gt;"")),FILTER(live,COUNTIF(cat,live)=0)),15),""),t,SUBSTITUTE(SUBSTITUTE(TRIM(k&amp;"")," ",""),"×","x"),IF(OR(k="",ISNUMBER(k)),"",IFERROR(VALUE(LEFT(t,FIND("x",t)-1)),""))))</f>
        <v/>
      </c>
      <c r="D239" s="18">
        <f>IF($M$2&lt;&gt;"Flat Bar","",LET(k,IFERROR(INDEX(LET(cat,$E$121:$E$224,box,VSTACK($P$2,$L$7:$L$26),live,UNIQUE(FILTER(VSTACK(cat,box),VSTACK(cat,box)&lt;&gt;"")),FILTER(live,COUNTIF(cat,live)=0)),15),""),t,SUBSTITUTE(SUBSTITUTE(TRIM(k&amp;"")," ",""),"×","x"),IF(OR(k="",ISNUMBER(k)),"",IFERROR(VALUE(MID(t,FIND("x",t)+1,32)),""))))</f>
        <v/>
      </c>
      <c r="E239" s="48">
        <f>IF($M$2&lt;&gt;"Flat Bar","",IFERROR(INDEX(LET(cat,$E$121:$E$224,box,VSTACK($P$2,$L$7:$L$26),live,UNIQUE(FILTER(VSTACK(cat,box),VSTACK(cat,box)&lt;&gt;"")),FILTER(live,COUNTIF(cat,live)=0)),15),""))</f>
        <v/>
      </c>
      <c r="F239" s="49" t="n"/>
      <c r="G239" s="49">
        <f>$I$3</f>
        <v/>
      </c>
      <c r="H239" s="50">
        <f>IF(F239="","",F239+$I$3)</f>
        <v/>
      </c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16" t="inlineStr"/>
      <c r="B240" s="42" t="inlineStr"/>
      <c r="C240" s="14">
        <f>IF($M$2&lt;&gt;"Flat Bar","",LET(k,IFERROR(INDEX(LET(cat,$E$121:$E$224,box,VSTACK($P$2,$L$7:$L$26),live,UNIQUE(FILTER(VSTACK(cat,box),VSTACK(cat,box)&lt;&gt;"")),FILTER(live,COUNTIF(cat,live)=0)),16),""),t,SUBSTITUTE(SUBSTITUTE(TRIM(k&amp;"")," ",""),"×","x"),IF(OR(k="",ISNUMBER(k)),"",IFERROR(VALUE(LEFT(t,FIND("x",t)-1)),""))))</f>
        <v/>
      </c>
      <c r="D240" s="14">
        <f>IF($M$2&lt;&gt;"Flat Bar","",LET(k,IFERROR(INDEX(LET(cat,$E$121:$E$224,box,VSTACK($P$2,$L$7:$L$26),live,UNIQUE(FILTER(VSTACK(cat,box),VSTACK(cat,box)&lt;&gt;"")),FILTER(live,COUNTIF(cat,live)=0)),16),""),t,SUBSTITUTE(SUBSTITUTE(TRIM(k&amp;"")," ",""),"×","x"),IF(OR(k="",ISNUMBER(k)),"",IFERROR(VALUE(MID(t,FIND("x",t)+1,32)),""))))</f>
        <v/>
      </c>
      <c r="E240" s="43">
        <f>IF($M$2&lt;&gt;"Flat Bar","",IFERROR(INDEX(LET(cat,$E$121:$E$224,box,VSTACK($P$2,$L$7:$L$26),live,UNIQUE(FILTER(VSTACK(cat,box),VSTACK(cat,box)&lt;&gt;"")),FILTER(live,COUNTIF(cat,live)=0)),16),""))</f>
        <v/>
      </c>
      <c r="F240" s="44" t="n"/>
      <c r="G240" s="44">
        <f>$I$3</f>
        <v/>
      </c>
      <c r="H240" s="45">
        <f>IF(F240="","",F240+$I$3)</f>
        <v/>
      </c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0" t="inlineStr"/>
      <c r="B241" s="47" t="inlineStr"/>
      <c r="C241" s="18">
        <f>IF($M$2&lt;&gt;"Flat Bar","",LET(k,IFERROR(INDEX(LET(cat,$E$121:$E$224,box,VSTACK($P$2,$L$7:$L$26),live,UNIQUE(FILTER(VSTACK(cat,box),VSTACK(cat,box)&lt;&gt;"")),FILTER(live,COUNTIF(cat,live)=0)),17),""),t,SUBSTITUTE(SUBSTITUTE(TRIM(k&amp;"")," ",""),"×","x"),IF(OR(k="",ISNUMBER(k)),"",IFERROR(VALUE(LEFT(t,FIND("x",t)-1)),""))))</f>
        <v/>
      </c>
      <c r="D241" s="18">
        <f>IF($M$2&lt;&gt;"Flat Bar","",LET(k,IFERROR(INDEX(LET(cat,$E$121:$E$224,box,VSTACK($P$2,$L$7:$L$26),live,UNIQUE(FILTER(VSTACK(cat,box),VSTACK(cat,box)&lt;&gt;"")),FILTER(live,COUNTIF(cat,live)=0)),17),""),t,SUBSTITUTE(SUBSTITUTE(TRIM(k&amp;"")," ",""),"×","x"),IF(OR(k="",ISNUMBER(k)),"",IFERROR(VALUE(MID(t,FIND("x",t)+1,32)),""))))</f>
        <v/>
      </c>
      <c r="E241" s="48">
        <f>IF($M$2&lt;&gt;"Flat Bar","",IFERROR(INDEX(LET(cat,$E$121:$E$224,box,VSTACK($P$2,$L$7:$L$26),live,UNIQUE(FILTER(VSTACK(cat,box),VSTACK(cat,box)&lt;&gt;"")),FILTER(live,COUNTIF(cat,live)=0)),17),""))</f>
        <v/>
      </c>
      <c r="F241" s="49" t="n"/>
      <c r="G241" s="49">
        <f>$I$3</f>
        <v/>
      </c>
      <c r="H241" s="50">
        <f>IF(F241="","",F241+$I$3)</f>
        <v/>
      </c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16" t="inlineStr"/>
      <c r="B242" s="42" t="inlineStr"/>
      <c r="C242" s="14">
        <f>IF($M$2&lt;&gt;"Flat Bar","",LET(k,IFERROR(INDEX(LET(cat,$E$121:$E$224,box,VSTACK($P$2,$L$7:$L$26),live,UNIQUE(FILTER(VSTACK(cat,box),VSTACK(cat,box)&lt;&gt;"")),FILTER(live,COUNTIF(cat,live)=0)),18),""),t,SUBSTITUTE(SUBSTITUTE(TRIM(k&amp;"")," ",""),"×","x"),IF(OR(k="",ISNUMBER(k)),"",IFERROR(VALUE(LEFT(t,FIND("x",t)-1)),""))))</f>
        <v/>
      </c>
      <c r="D242" s="14">
        <f>IF($M$2&lt;&gt;"Flat Bar","",LET(k,IFERROR(INDEX(LET(cat,$E$121:$E$224,box,VSTACK($P$2,$L$7:$L$26),live,UNIQUE(FILTER(VSTACK(cat,box),VSTACK(cat,box)&lt;&gt;"")),FILTER(live,COUNTIF(cat,live)=0)),18),""),t,SUBSTITUTE(SUBSTITUTE(TRIM(k&amp;"")," ",""),"×","x"),IF(OR(k="",ISNUMBER(k)),"",IFERROR(VALUE(MID(t,FIND("x",t)+1,32)),""))))</f>
        <v/>
      </c>
      <c r="E242" s="43">
        <f>IF($M$2&lt;&gt;"Flat Bar","",IFERROR(INDEX(LET(cat,$E$121:$E$224,box,VSTACK($P$2,$L$7:$L$26),live,UNIQUE(FILTER(VSTACK(cat,box),VSTACK(cat,box)&lt;&gt;"")),FILTER(live,COUNTIF(cat,live)=0)),18),""))</f>
        <v/>
      </c>
      <c r="F242" s="44" t="n"/>
      <c r="G242" s="44">
        <f>$I$3</f>
        <v/>
      </c>
      <c r="H242" s="45">
        <f>IF(F242="","",F242+$I$3)</f>
        <v/>
      </c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0" t="inlineStr"/>
      <c r="B243" s="47" t="inlineStr"/>
      <c r="C243" s="18">
        <f>IF($M$2&lt;&gt;"Flat Bar","",LET(k,IFERROR(INDEX(LET(cat,$E$121:$E$224,box,VSTACK($P$2,$L$7:$L$26),live,UNIQUE(FILTER(VSTACK(cat,box),VSTACK(cat,box)&lt;&gt;"")),FILTER(live,COUNTIF(cat,live)=0)),19),""),t,SUBSTITUTE(SUBSTITUTE(TRIM(k&amp;"")," ",""),"×","x"),IF(OR(k="",ISNUMBER(k)),"",IFERROR(VALUE(LEFT(t,FIND("x",t)-1)),""))))</f>
        <v/>
      </c>
      <c r="D243" s="18">
        <f>IF($M$2&lt;&gt;"Flat Bar","",LET(k,IFERROR(INDEX(LET(cat,$E$121:$E$224,box,VSTACK($P$2,$L$7:$L$26),live,UNIQUE(FILTER(VSTACK(cat,box),VSTACK(cat,box)&lt;&gt;"")),FILTER(live,COUNTIF(cat,live)=0)),19),""),t,SUBSTITUTE(SUBSTITUTE(TRIM(k&amp;"")," ",""),"×","x"),IF(OR(k="",ISNUMBER(k)),"",IFERROR(VALUE(MID(t,FIND("x",t)+1,32)),""))))</f>
        <v/>
      </c>
      <c r="E243" s="48">
        <f>IF($M$2&lt;&gt;"Flat Bar","",IFERROR(INDEX(LET(cat,$E$121:$E$224,box,VSTACK($P$2,$L$7:$L$26),live,UNIQUE(FILTER(VSTACK(cat,box),VSTACK(cat,box)&lt;&gt;"")),FILTER(live,COUNTIF(cat,live)=0)),19),""))</f>
        <v/>
      </c>
      <c r="F243" s="49" t="n"/>
      <c r="G243" s="49">
        <f>$I$3</f>
        <v/>
      </c>
      <c r="H243" s="50">
        <f>IF(F243="","",F243+$I$3)</f>
        <v/>
      </c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16" t="inlineStr"/>
      <c r="B244" s="42" t="inlineStr"/>
      <c r="C244" s="14">
        <f>IF($M$2&lt;&gt;"Flat Bar","",LET(k,IFERROR(INDEX(LET(cat,$E$121:$E$224,box,VSTACK($P$2,$L$7:$L$26),live,UNIQUE(FILTER(VSTACK(cat,box),VSTACK(cat,box)&lt;&gt;"")),FILTER(live,COUNTIF(cat,live)=0)),20),""),t,SUBSTITUTE(SUBSTITUTE(TRIM(k&amp;"")," ",""),"×","x"),IF(OR(k="",ISNUMBER(k)),"",IFERROR(VALUE(LEFT(t,FIND("x",t)-1)),""))))</f>
        <v/>
      </c>
      <c r="D244" s="14">
        <f>IF($M$2&lt;&gt;"Flat Bar","",LET(k,IFERROR(INDEX(LET(cat,$E$121:$E$224,box,VSTACK($P$2,$L$7:$L$26),live,UNIQUE(FILTER(VSTACK(cat,box),VSTACK(cat,box)&lt;&gt;"")),FILTER(live,COUNTIF(cat,live)=0)),20),""),t,SUBSTITUTE(SUBSTITUTE(TRIM(k&amp;"")," ",""),"×","x"),IF(OR(k="",ISNUMBER(k)),"",IFERROR(VALUE(MID(t,FIND("x",t)+1,32)),""))))</f>
        <v/>
      </c>
      <c r="E244" s="43">
        <f>IF($M$2&lt;&gt;"Flat Bar","",IFERROR(INDEX(LET(cat,$E$121:$E$224,box,VSTACK($P$2,$L$7:$L$26),live,UNIQUE(FILTER(VSTACK(cat,box),VSTACK(cat,box)&lt;&gt;"")),FILTER(live,COUNTIF(cat,live)=0)),20),""))</f>
        <v/>
      </c>
      <c r="F244" s="44" t="n"/>
      <c r="G244" s="44">
        <f>$I$3</f>
        <v/>
      </c>
      <c r="H244" s="45">
        <f>IF(F244="","",F244+$I$3)</f>
        <v/>
      </c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</sheetData>
  <mergeCells count="17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A78:G78"/>
    <mergeCell ref="B4:G4"/>
    <mergeCell ref="A2:G2"/>
    <mergeCell ref="L6:O6"/>
    <mergeCell ref="H2:J2"/>
    <mergeCell ref="L1:O1"/>
    <mergeCell ref="A119:H119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P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MS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Round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Round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shape",IF($M$2="Round Bar",IF(OR(COUNTIF($C$8:$C$92,$P$2)&gt;0,COUNTIF($L$7:$L$26,$P$2)&gt;0),"Already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ROUND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Bright Rod</t>
        </is>
      </c>
      <c r="B8" s="42" t="inlineStr">
        <is>
          <t>Rolling &amp; VSP Make</t>
        </is>
      </c>
      <c r="C8" s="43" t="n">
        <v>4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Bright Rod</t>
        </is>
      </c>
      <c r="B9" s="47" t="inlineStr">
        <is>
          <t>Rolling &amp; VSP Make</t>
        </is>
      </c>
      <c r="C9" s="48" t="n">
        <v>5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Bright Rod</t>
        </is>
      </c>
      <c r="B10" s="42" t="inlineStr">
        <is>
          <t>Rolling &amp; VSP Make</t>
        </is>
      </c>
      <c r="C10" s="43" t="n">
        <v>6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Bright Rod</t>
        </is>
      </c>
      <c r="B11" s="47" t="inlineStr">
        <is>
          <t>Rolling &amp; VSP Make</t>
        </is>
      </c>
      <c r="C11" s="48" t="n">
        <v>12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Bright Rod</t>
        </is>
      </c>
      <c r="B12" s="42" t="inlineStr">
        <is>
          <t>Rolling &amp; VSP Make</t>
        </is>
      </c>
      <c r="C12" s="43" t="n">
        <v>14.2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Bright Rod</t>
        </is>
      </c>
      <c r="B13" s="47" t="inlineStr">
        <is>
          <t>Rolling &amp; VSP Make</t>
        </is>
      </c>
      <c r="C13" s="48" t="n">
        <v>15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Bright Rod</t>
        </is>
      </c>
      <c r="B14" s="42" t="inlineStr">
        <is>
          <t>Rolling &amp; VSP Make</t>
        </is>
      </c>
      <c r="C14" s="43" t="n">
        <v>16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Bright Rod</t>
        </is>
      </c>
      <c r="B15" s="47" t="inlineStr">
        <is>
          <t>Rolling &amp; VSP Make</t>
        </is>
      </c>
      <c r="C15" s="48" t="n">
        <v>18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Bright Rod</t>
        </is>
      </c>
      <c r="B16" s="42" t="inlineStr">
        <is>
          <t>Rolling &amp; VSP Make</t>
        </is>
      </c>
      <c r="C16" s="43" t="n">
        <v>19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Bright Rod</t>
        </is>
      </c>
      <c r="B17" s="47" t="inlineStr">
        <is>
          <t>Rolling &amp; VSP Make</t>
        </is>
      </c>
      <c r="C17" s="48" t="n">
        <v>20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Bright Rod</t>
        </is>
      </c>
      <c r="B18" s="42" t="inlineStr">
        <is>
          <t>Rolling &amp; VSP Make</t>
        </is>
      </c>
      <c r="C18" s="43" t="n">
        <v>22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Bright Rod</t>
        </is>
      </c>
      <c r="B19" s="47" t="inlineStr">
        <is>
          <t>Rolling &amp; VSP Make</t>
        </is>
      </c>
      <c r="C19" s="48" t="n">
        <v>22.2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Bright Rod</t>
        </is>
      </c>
      <c r="B20" s="42" t="inlineStr">
        <is>
          <t>Rolling &amp; VSP Make</t>
        </is>
      </c>
      <c r="C20" s="43" t="n">
        <v>24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Bright Rod</t>
        </is>
      </c>
      <c r="B21" s="47" t="inlineStr">
        <is>
          <t>Rolling &amp; VSP Make</t>
        </is>
      </c>
      <c r="C21" s="48" t="n">
        <v>25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Bright Rod</t>
        </is>
      </c>
      <c r="B22" s="42" t="inlineStr">
        <is>
          <t>Rolling &amp; VSP Make</t>
        </is>
      </c>
      <c r="C22" s="43" t="n">
        <v>25.4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Bright Rod</t>
        </is>
      </c>
      <c r="B23" s="47" t="inlineStr">
        <is>
          <t>Rolling &amp; VSP Make</t>
        </is>
      </c>
      <c r="C23" s="48" t="n">
        <v>27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Bright Rod</t>
        </is>
      </c>
      <c r="B24" s="42" t="inlineStr">
        <is>
          <t>Rolling &amp; VSP Make</t>
        </is>
      </c>
      <c r="C24" s="43" t="n">
        <v>28.5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Bright Rod</t>
        </is>
      </c>
      <c r="B25" s="47" t="inlineStr">
        <is>
          <t>Rolling &amp; VSP Make</t>
        </is>
      </c>
      <c r="C25" s="48" t="n">
        <v>30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Bright Rod</t>
        </is>
      </c>
      <c r="B26" s="42" t="inlineStr">
        <is>
          <t>Rolling &amp; VSP Make</t>
        </is>
      </c>
      <c r="C26" s="43" t="n">
        <v>32</v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Bright Rod</t>
        </is>
      </c>
      <c r="B27" s="47" t="inlineStr">
        <is>
          <t>Rolling &amp; VSP Make</t>
        </is>
      </c>
      <c r="C27" s="48" t="n">
        <v>35</v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Bright Rod</t>
        </is>
      </c>
      <c r="B28" s="42" t="inlineStr">
        <is>
          <t>Rolling &amp; VSP Make</t>
        </is>
      </c>
      <c r="C28" s="43" t="n">
        <v>36</v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>
        <is>
          <t>Bright Rod</t>
        </is>
      </c>
      <c r="B29" s="47" t="inlineStr">
        <is>
          <t>Rolling &amp; VSP Make</t>
        </is>
      </c>
      <c r="C29" s="48" t="n">
        <v>38</v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>
        <is>
          <t>Bright Rod</t>
        </is>
      </c>
      <c r="B30" s="42" t="inlineStr">
        <is>
          <t>Rolling &amp; VSP Make</t>
        </is>
      </c>
      <c r="C30" s="43" t="n">
        <v>40</v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>
        <is>
          <t>Bright Rod</t>
        </is>
      </c>
      <c r="B31" s="47" t="inlineStr">
        <is>
          <t>Rolling &amp; VSP Make</t>
        </is>
      </c>
      <c r="C31" s="48" t="n">
        <v>42</v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>
        <is>
          <t>Bright Rod</t>
        </is>
      </c>
      <c r="B32" s="42" t="inlineStr">
        <is>
          <t>Rolling &amp; VSP Make</t>
        </is>
      </c>
      <c r="C32" s="43" t="n">
        <v>45</v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>
        <is>
          <t>Bright Rod</t>
        </is>
      </c>
      <c r="B33" s="47" t="inlineStr">
        <is>
          <t>Rolling &amp; VSP Make</t>
        </is>
      </c>
      <c r="C33" s="48" t="n">
        <v>50</v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>
        <is>
          <t>Bright Rod</t>
        </is>
      </c>
      <c r="B34" s="42" t="inlineStr">
        <is>
          <t>Rolling &amp; VSP Make</t>
        </is>
      </c>
      <c r="C34" s="43" t="n">
        <v>55</v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>
        <is>
          <t>Bright Rod</t>
        </is>
      </c>
      <c r="B35" s="47" t="inlineStr">
        <is>
          <t>Rolling &amp; VSP Make</t>
        </is>
      </c>
      <c r="C35" s="48" t="n">
        <v>57</v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>
        <is>
          <t>Bright Rod</t>
        </is>
      </c>
      <c r="B36" s="42" t="inlineStr">
        <is>
          <t>Rolling &amp; VSP Make</t>
        </is>
      </c>
      <c r="C36" s="43" t="n">
        <v>60</v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>
        <is>
          <t>Bright Rod</t>
        </is>
      </c>
      <c r="B37" s="47" t="inlineStr">
        <is>
          <t>Rolling &amp; VSP Make</t>
        </is>
      </c>
      <c r="C37" s="48" t="n">
        <v>63</v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>
        <is>
          <t>Bright Rod</t>
        </is>
      </c>
      <c r="B38" s="42" t="inlineStr">
        <is>
          <t>Rolling &amp; VSP Make</t>
        </is>
      </c>
      <c r="C38" s="43" t="n">
        <v>70</v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>
        <is>
          <t>Bright Rod</t>
        </is>
      </c>
      <c r="B39" s="47" t="inlineStr">
        <is>
          <t>Rolling &amp; VSP Make</t>
        </is>
      </c>
      <c r="C39" s="48" t="n">
        <v>75</v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>
        <is>
          <t>Black Rod</t>
        </is>
      </c>
      <c r="B40" s="42" t="inlineStr">
        <is>
          <t>Rolling &amp; VSP / Imported</t>
        </is>
      </c>
      <c r="C40" s="43" t="n">
        <v>16</v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>
        <is>
          <t>Black Rod</t>
        </is>
      </c>
      <c r="B41" s="47" t="inlineStr">
        <is>
          <t>Rolling &amp; VSP / Imported</t>
        </is>
      </c>
      <c r="C41" s="48" t="n">
        <v>20</v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>
        <is>
          <t>Black Rod</t>
        </is>
      </c>
      <c r="B42" s="42" t="inlineStr">
        <is>
          <t>Rolling &amp; VSP / Imported</t>
        </is>
      </c>
      <c r="C42" s="43" t="n">
        <v>22</v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>
        <is>
          <t>Black Rod</t>
        </is>
      </c>
      <c r="B43" s="47" t="inlineStr">
        <is>
          <t>Rolling &amp; VSP / Imported</t>
        </is>
      </c>
      <c r="C43" s="48" t="n">
        <v>25</v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>
        <is>
          <t>Black Rod</t>
        </is>
      </c>
      <c r="B44" s="42" t="inlineStr">
        <is>
          <t>Rolling &amp; VSP / Imported</t>
        </is>
      </c>
      <c r="C44" s="43" t="n">
        <v>28</v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>
        <is>
          <t>Black Rod</t>
        </is>
      </c>
      <c r="B45" s="47" t="inlineStr">
        <is>
          <t>Rolling &amp; VSP / Imported</t>
        </is>
      </c>
      <c r="C45" s="48" t="n">
        <v>32</v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>
        <is>
          <t>Black Rod</t>
        </is>
      </c>
      <c r="B46" s="42" t="inlineStr">
        <is>
          <t>Rolling &amp; VSP / Imported</t>
        </is>
      </c>
      <c r="C46" s="43" t="n">
        <v>36</v>
      </c>
      <c r="D46" s="44" t="n"/>
      <c r="E46" s="44">
        <f>$I$3</f>
        <v/>
      </c>
      <c r="F46" s="45">
        <f>IF(D46="","",D46+$I$3)</f>
        <v/>
      </c>
      <c r="G46" s="42" t="inlineStr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>
        <is>
          <t>Black Rod</t>
        </is>
      </c>
      <c r="B47" s="47" t="inlineStr">
        <is>
          <t>Rolling &amp; VSP / Imported</t>
        </is>
      </c>
      <c r="C47" s="48" t="n">
        <v>40</v>
      </c>
      <c r="D47" s="49" t="n"/>
      <c r="E47" s="49">
        <f>$I$3</f>
        <v/>
      </c>
      <c r="F47" s="50">
        <f>IF(D47="","",D47+$I$3)</f>
        <v/>
      </c>
      <c r="G47" s="47" t="inlineStr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>
        <is>
          <t>Black Rod</t>
        </is>
      </c>
      <c r="B48" s="42" t="inlineStr">
        <is>
          <t>Rolling &amp; VSP / Imported</t>
        </is>
      </c>
      <c r="C48" s="43" t="n">
        <v>45</v>
      </c>
      <c r="D48" s="44" t="n"/>
      <c r="E48" s="44">
        <f>$I$3</f>
        <v/>
      </c>
      <c r="F48" s="45">
        <f>IF(D48="","",D48+$I$3)</f>
        <v/>
      </c>
      <c r="G48" s="42" t="inlineStr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Black Rod</t>
        </is>
      </c>
      <c r="B49" s="47" t="inlineStr">
        <is>
          <t>Rolling &amp; VSP / Imported</t>
        </is>
      </c>
      <c r="C49" s="48" t="n">
        <v>50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Black Rod</t>
        </is>
      </c>
      <c r="B50" s="42" t="inlineStr">
        <is>
          <t>Rolling &amp; VSP / Imported</t>
        </is>
      </c>
      <c r="C50" s="43" t="n">
        <v>53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Black Rod</t>
        </is>
      </c>
      <c r="B51" s="47" t="inlineStr">
        <is>
          <t>Rolling &amp; VSP / Imported</t>
        </is>
      </c>
      <c r="C51" s="48" t="n">
        <v>56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Black Rod</t>
        </is>
      </c>
      <c r="B52" s="42" t="inlineStr">
        <is>
          <t>Rolling &amp; VSP / Imported</t>
        </is>
      </c>
      <c r="C52" s="43" t="n">
        <v>60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Black Rod</t>
        </is>
      </c>
      <c r="B53" s="47" t="inlineStr">
        <is>
          <t>Rolling &amp; VSP / Imported</t>
        </is>
      </c>
      <c r="C53" s="48" t="n">
        <v>63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Black Rod</t>
        </is>
      </c>
      <c r="B54" s="42" t="inlineStr">
        <is>
          <t>Rolling &amp; VSP / Imported</t>
        </is>
      </c>
      <c r="C54" s="43" t="n">
        <v>65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Black Rod</t>
        </is>
      </c>
      <c r="B55" s="47" t="inlineStr">
        <is>
          <t>Rolling &amp; VSP / Imported</t>
        </is>
      </c>
      <c r="C55" s="48" t="n">
        <v>71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Black Rod</t>
        </is>
      </c>
      <c r="B56" s="42" t="inlineStr">
        <is>
          <t>Rolling &amp; VSP / Imported</t>
        </is>
      </c>
      <c r="C56" s="43" t="n">
        <v>75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Black Rod</t>
        </is>
      </c>
      <c r="B57" s="47" t="inlineStr">
        <is>
          <t>Rolling &amp; VSP / Imported</t>
        </is>
      </c>
      <c r="C57" s="48" t="n">
        <v>80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Black Rod</t>
        </is>
      </c>
      <c r="B58" s="42" t="inlineStr">
        <is>
          <t>Rolling &amp; VSP / Imported</t>
        </is>
      </c>
      <c r="C58" s="43" t="n">
        <v>85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Black Rod</t>
        </is>
      </c>
      <c r="B59" s="47" t="inlineStr">
        <is>
          <t>Rolling &amp; VSP / Imported</t>
        </is>
      </c>
      <c r="C59" s="48" t="n">
        <v>90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Black Rod</t>
        </is>
      </c>
      <c r="B60" s="42" t="inlineStr">
        <is>
          <t>Rolling &amp; VSP / Imported</t>
        </is>
      </c>
      <c r="C60" s="43" t="n">
        <v>95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Black Rod</t>
        </is>
      </c>
      <c r="B61" s="47" t="inlineStr">
        <is>
          <t>Rolling &amp; VSP / Imported</t>
        </is>
      </c>
      <c r="C61" s="48" t="n">
        <v>100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Black Rod</t>
        </is>
      </c>
      <c r="B62" s="42" t="inlineStr">
        <is>
          <t>Rolling &amp; VSP / Imported</t>
        </is>
      </c>
      <c r="C62" s="43" t="n">
        <v>105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Black Rod</t>
        </is>
      </c>
      <c r="B63" s="47" t="inlineStr">
        <is>
          <t>Rolling &amp; VSP / Imported</t>
        </is>
      </c>
      <c r="C63" s="48" t="n">
        <v>110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Black Rod</t>
        </is>
      </c>
      <c r="B64" s="42" t="inlineStr">
        <is>
          <t>Rolling &amp; VSP / Imported</t>
        </is>
      </c>
      <c r="C64" s="43" t="n">
        <v>115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Black Rod</t>
        </is>
      </c>
      <c r="B65" s="47" t="inlineStr">
        <is>
          <t>Rolling &amp; VSP / Imported</t>
        </is>
      </c>
      <c r="C65" s="48" t="n">
        <v>120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Black Rod</t>
        </is>
      </c>
      <c r="B66" s="42" t="inlineStr">
        <is>
          <t>Rolling &amp; VSP / Imported</t>
        </is>
      </c>
      <c r="C66" s="43" t="n">
        <v>125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Black Rod</t>
        </is>
      </c>
      <c r="B67" s="47" t="inlineStr">
        <is>
          <t>Rolling &amp; VSP / Imported</t>
        </is>
      </c>
      <c r="C67" s="48" t="n">
        <v>130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Black Rod</t>
        </is>
      </c>
      <c r="B68" s="42" t="inlineStr">
        <is>
          <t>Rolling &amp; VSP / Imported</t>
        </is>
      </c>
      <c r="C68" s="43" t="n">
        <v>140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>
        <is>
          <t>Black Rod</t>
        </is>
      </c>
      <c r="B69" s="47" t="inlineStr">
        <is>
          <t>Rolling &amp; VSP / Imported</t>
        </is>
      </c>
      <c r="C69" s="48" t="n">
        <v>150</v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>
        <is>
          <t>Black Rod</t>
        </is>
      </c>
      <c r="B70" s="42" t="inlineStr">
        <is>
          <t>Rolling &amp; VSP / Imported</t>
        </is>
      </c>
      <c r="C70" s="43" t="n">
        <v>160</v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>
        <is>
          <t>Black Rod</t>
        </is>
      </c>
      <c r="B71" s="47" t="inlineStr">
        <is>
          <t>Rolling &amp; VSP / Imported</t>
        </is>
      </c>
      <c r="C71" s="48" t="n">
        <v>170</v>
      </c>
      <c r="D71" s="49" t="n"/>
      <c r="E71" s="49">
        <f>$I$3</f>
        <v/>
      </c>
      <c r="F71" s="50">
        <f>IF(D71="","",D71+$I$3)</f>
        <v/>
      </c>
      <c r="G71" s="47" t="inlineStr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>
        <is>
          <t>Black Rod</t>
        </is>
      </c>
      <c r="B72" s="42" t="inlineStr">
        <is>
          <t>Rolling &amp; VSP / Imported</t>
        </is>
      </c>
      <c r="C72" s="43" t="n">
        <v>190</v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>
        <is>
          <t>Black Rod</t>
        </is>
      </c>
      <c r="B73" s="47" t="inlineStr">
        <is>
          <t>Rolling &amp; VSP / Imported</t>
        </is>
      </c>
      <c r="C73" s="48" t="n">
        <v>200</v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>
        <is>
          <t>Black Rod</t>
        </is>
      </c>
      <c r="B74" s="42" t="inlineStr">
        <is>
          <t>Rolling &amp; VSP / Imported</t>
        </is>
      </c>
      <c r="C74" s="43" t="n">
        <v>210</v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>
        <is>
          <t>Black Rod</t>
        </is>
      </c>
      <c r="B75" s="47" t="inlineStr">
        <is>
          <t>Rolling &amp; VSP / Imported</t>
        </is>
      </c>
      <c r="C75" s="48" t="n">
        <v>220</v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>
        <is>
          <t>Black Rod</t>
        </is>
      </c>
      <c r="B76" s="42" t="inlineStr">
        <is>
          <t>Rolling &amp; VSP / Imported</t>
        </is>
      </c>
      <c r="C76" s="43" t="n">
        <v>230</v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>
        <is>
          <t>Black Rod</t>
        </is>
      </c>
      <c r="B77" s="47" t="inlineStr">
        <is>
          <t>Rolling &amp; VSP / Imported</t>
        </is>
      </c>
      <c r="C77" s="48" t="n">
        <v>240</v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>
        <is>
          <t>Black Rod</t>
        </is>
      </c>
      <c r="B78" s="42" t="inlineStr">
        <is>
          <t>Rolling &amp; VSP / Imported</t>
        </is>
      </c>
      <c r="C78" s="43" t="n">
        <v>250</v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>
        <is>
          <t>Black Rod</t>
        </is>
      </c>
      <c r="B79" s="47" t="inlineStr">
        <is>
          <t>Rolling &amp; VSP / Imported</t>
        </is>
      </c>
      <c r="C79" s="48" t="n">
        <v>260</v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>
        <is>
          <t>Black Rod</t>
        </is>
      </c>
      <c r="B80" s="42" t="inlineStr">
        <is>
          <t>Rolling &amp; VSP / Imported</t>
        </is>
      </c>
      <c r="C80" s="43" t="n">
        <v>270</v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>
        <is>
          <t>Black Rod</t>
        </is>
      </c>
      <c r="B81" s="47" t="inlineStr">
        <is>
          <t>Rolling &amp; VSP / Imported</t>
        </is>
      </c>
      <c r="C81" s="48" t="n">
        <v>280</v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>
        <is>
          <t>Black Rod</t>
        </is>
      </c>
      <c r="B82" s="42" t="inlineStr">
        <is>
          <t>Rolling &amp; VSP / Imported</t>
        </is>
      </c>
      <c r="C82" s="43" t="n">
        <v>290</v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>
        <is>
          <t>Black Rod</t>
        </is>
      </c>
      <c r="B83" s="47" t="inlineStr">
        <is>
          <t>Rolling &amp; VSP / Imported</t>
        </is>
      </c>
      <c r="C83" s="48" t="n">
        <v>300</v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>
        <is>
          <t>Centerless Grinding</t>
        </is>
      </c>
      <c r="B84" s="42" t="inlineStr"/>
      <c r="C84" s="43" t="n">
        <v>12</v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>
        <is>
          <t>Centerless Grinding</t>
        </is>
      </c>
      <c r="B85" s="47" t="inlineStr"/>
      <c r="C85" s="48" t="n">
        <v>15</v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>
        <is>
          <t>Centerless Grinding</t>
        </is>
      </c>
      <c r="B86" s="42" t="inlineStr"/>
      <c r="C86" s="43" t="n">
        <v>16</v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>
        <is>
          <t>Centerless Grinding</t>
        </is>
      </c>
      <c r="B87" s="47" t="inlineStr"/>
      <c r="C87" s="48" t="n">
        <v>20</v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>
        <is>
          <t>Centerless Grinding</t>
        </is>
      </c>
      <c r="B88" s="42" t="inlineStr"/>
      <c r="C88" s="43" t="n">
        <v>25</v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0" t="inlineStr">
        <is>
          <t>Centerless Grinding</t>
        </is>
      </c>
      <c r="B89" s="47" t="inlineStr"/>
      <c r="C89" s="48" t="n">
        <v>30</v>
      </c>
      <c r="D89" s="49" t="n"/>
      <c r="E89" s="49">
        <f>$I$3</f>
        <v/>
      </c>
      <c r="F89" s="50">
        <f>IF(D89="","",D89+$I$3)</f>
        <v/>
      </c>
      <c r="G89" s="47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6" t="inlineStr">
        <is>
          <t>Centerless Grinding</t>
        </is>
      </c>
      <c r="B90" s="42" t="inlineStr"/>
      <c r="C90" s="43" t="n">
        <v>35</v>
      </c>
      <c r="D90" s="44" t="n"/>
      <c r="E90" s="44">
        <f>$I$3</f>
        <v/>
      </c>
      <c r="F90" s="45">
        <f>IF(D90="","",D90+$I$3)</f>
        <v/>
      </c>
      <c r="G90" s="42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0" t="inlineStr">
        <is>
          <t>Centerless Grinding</t>
        </is>
      </c>
      <c r="B91" s="47" t="inlineStr"/>
      <c r="C91" s="48" t="n">
        <v>38</v>
      </c>
      <c r="D91" s="49" t="n"/>
      <c r="E91" s="49">
        <f>$I$3</f>
        <v/>
      </c>
      <c r="F91" s="50">
        <f>IF(D91="","",D91+$I$3)</f>
        <v/>
      </c>
      <c r="G91" s="47" t="inlineStr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16" t="inlineStr">
        <is>
          <t>Centerless Grinding</t>
        </is>
      </c>
      <c r="B92" s="42" t="inlineStr"/>
      <c r="C92" s="43" t="n">
        <v>40</v>
      </c>
      <c r="D92" s="44" t="n"/>
      <c r="E92" s="44">
        <f>$I$3</f>
        <v/>
      </c>
      <c r="F92" s="45">
        <f>IF(D92="","",D92+$I$3)</f>
        <v/>
      </c>
      <c r="G92" s="42" t="inlineStr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0" t="inlineStr"/>
      <c r="B93" s="47" t="inlineStr"/>
      <c r="C93" s="48">
        <f>IF($M$2&lt;&gt;"Round Bar","",IFERROR(INDEX(LET(cat,$C$8:$C$92,box,VSTACK($P$2,$L$7:$L$26),live,UNIQUE(FILTER(VSTACK(cat,box),VSTACK(cat,box)&lt;&gt;"")),FILTER(live,COUNTIF(cat,live)=0)),1),""))</f>
        <v/>
      </c>
      <c r="D93" s="49" t="n"/>
      <c r="E93" s="49">
        <f>$I$3</f>
        <v/>
      </c>
      <c r="F93" s="50">
        <f>IF(D93="","",D93+$I$3)</f>
        <v/>
      </c>
      <c r="G93" s="51" t="inlineStr">
        <is>
          <t>New size from Add Size — type a base price; selling uses $I$3</t>
        </is>
      </c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6" t="inlineStr"/>
      <c r="B94" s="42" t="inlineStr"/>
      <c r="C94" s="43">
        <f>IF($M$2&lt;&gt;"Round Bar","",IFERROR(INDEX(LET(cat,$C$8:$C$92,box,VSTACK($P$2,$L$7:$L$26),live,UNIQUE(FILTER(VSTACK(cat,box),VSTACK(cat,box)&lt;&gt;"")),FILTER(live,COUNTIF(cat,live)=0)),2),""))</f>
        <v/>
      </c>
      <c r="D94" s="44" t="n"/>
      <c r="E94" s="44">
        <f>$I$3</f>
        <v/>
      </c>
      <c r="F94" s="45">
        <f>IF(D94="","",D94+$I$3)</f>
        <v/>
      </c>
      <c r="G94" s="42" t="inlineStr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0" t="inlineStr"/>
      <c r="B95" s="47" t="inlineStr"/>
      <c r="C95" s="48">
        <f>IF($M$2&lt;&gt;"Round Bar","",IFERROR(INDEX(LET(cat,$C$8:$C$92,box,VSTACK($P$2,$L$7:$L$26),live,UNIQUE(FILTER(VSTACK(cat,box),VSTACK(cat,box)&lt;&gt;"")),FILTER(live,COUNTIF(cat,live)=0)),3),""))</f>
        <v/>
      </c>
      <c r="D95" s="49" t="n"/>
      <c r="E95" s="49">
        <f>$I$3</f>
        <v/>
      </c>
      <c r="F95" s="50">
        <f>IF(D95="","",D95+$I$3)</f>
        <v/>
      </c>
      <c r="G95" s="47" t="inlineStr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6" t="inlineStr"/>
      <c r="B96" s="42" t="inlineStr"/>
      <c r="C96" s="43">
        <f>IF($M$2&lt;&gt;"Round Bar","",IFERROR(INDEX(LET(cat,$C$8:$C$92,box,VSTACK($P$2,$L$7:$L$26),live,UNIQUE(FILTER(VSTACK(cat,box),VSTACK(cat,box)&lt;&gt;"")),FILTER(live,COUNTIF(cat,live)=0)),4),""))</f>
        <v/>
      </c>
      <c r="D96" s="44" t="n"/>
      <c r="E96" s="44">
        <f>$I$3</f>
        <v/>
      </c>
      <c r="F96" s="45">
        <f>IF(D96="","",D96+$I$3)</f>
        <v/>
      </c>
      <c r="G96" s="42" t="inlineStr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0" t="inlineStr"/>
      <c r="B97" s="47" t="inlineStr"/>
      <c r="C97" s="48">
        <f>IF($M$2&lt;&gt;"Round Bar","",IFERROR(INDEX(LET(cat,$C$8:$C$92,box,VSTACK($P$2,$L$7:$L$26),live,UNIQUE(FILTER(VSTACK(cat,box),VSTACK(cat,box)&lt;&gt;"")),FILTER(live,COUNTIF(cat,live)=0)),5),""))</f>
        <v/>
      </c>
      <c r="D97" s="49" t="n"/>
      <c r="E97" s="49">
        <f>$I$3</f>
        <v/>
      </c>
      <c r="F97" s="50">
        <f>IF(D97="","",D97+$I$3)</f>
        <v/>
      </c>
      <c r="G97" s="47" t="inlineStr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6" t="inlineStr"/>
      <c r="B98" s="42" t="inlineStr"/>
      <c r="C98" s="43">
        <f>IF($M$2&lt;&gt;"Round Bar","",IFERROR(INDEX(LET(cat,$C$8:$C$92,box,VSTACK($P$2,$L$7:$L$26),live,UNIQUE(FILTER(VSTACK(cat,box),VSTACK(cat,box)&lt;&gt;"")),FILTER(live,COUNTIF(cat,live)=0)),6),""))</f>
        <v/>
      </c>
      <c r="D98" s="44" t="n"/>
      <c r="E98" s="44">
        <f>$I$3</f>
        <v/>
      </c>
      <c r="F98" s="45">
        <f>IF(D98="","",D98+$I$3)</f>
        <v/>
      </c>
      <c r="G98" s="42" t="inlineStr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0" t="inlineStr"/>
      <c r="B99" s="47" t="inlineStr"/>
      <c r="C99" s="48">
        <f>IF($M$2&lt;&gt;"Round Bar","",IFERROR(INDEX(LET(cat,$C$8:$C$92,box,VSTACK($P$2,$L$7:$L$26),live,UNIQUE(FILTER(VSTACK(cat,box),VSTACK(cat,box)&lt;&gt;"")),FILTER(live,COUNTIF(cat,live)=0)),7),""))</f>
        <v/>
      </c>
      <c r="D99" s="49" t="n"/>
      <c r="E99" s="49">
        <f>$I$3</f>
        <v/>
      </c>
      <c r="F99" s="50">
        <f>IF(D99="","",D99+$I$3)</f>
        <v/>
      </c>
      <c r="G99" s="47" t="inlineStr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16" t="inlineStr"/>
      <c r="B100" s="42" t="inlineStr"/>
      <c r="C100" s="43">
        <f>IF($M$2&lt;&gt;"Round Bar","",IFERROR(INDEX(LET(cat,$C$8:$C$92,box,VSTACK($P$2,$L$7:$L$26),live,UNIQUE(FILTER(VSTACK(cat,box),VSTACK(cat,box)&lt;&gt;"")),FILTER(live,COUNTIF(cat,live)=0)),8),""))</f>
        <v/>
      </c>
      <c r="D100" s="44" t="n"/>
      <c r="E100" s="44">
        <f>$I$3</f>
        <v/>
      </c>
      <c r="F100" s="45">
        <f>IF(D100="","",D100+$I$3)</f>
        <v/>
      </c>
      <c r="G100" s="42" t="inlineStr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0" t="inlineStr"/>
      <c r="B101" s="47" t="inlineStr"/>
      <c r="C101" s="48">
        <f>IF($M$2&lt;&gt;"Round Bar","",IFERROR(INDEX(LET(cat,$C$8:$C$92,box,VSTACK($P$2,$L$7:$L$26),live,UNIQUE(FILTER(VSTACK(cat,box),VSTACK(cat,box)&lt;&gt;"")),FILTER(live,COUNTIF(cat,live)=0)),9),""))</f>
        <v/>
      </c>
      <c r="D101" s="49" t="n"/>
      <c r="E101" s="49">
        <f>$I$3</f>
        <v/>
      </c>
      <c r="F101" s="50">
        <f>IF(D101="","",D101+$I$3)</f>
        <v/>
      </c>
      <c r="G101" s="47" t="inlineStr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16" t="inlineStr"/>
      <c r="B102" s="42" t="inlineStr"/>
      <c r="C102" s="43">
        <f>IF($M$2&lt;&gt;"Round Bar","",IFERROR(INDEX(LET(cat,$C$8:$C$92,box,VSTACK($P$2,$L$7:$L$26),live,UNIQUE(FILTER(VSTACK(cat,box),VSTACK(cat,box)&lt;&gt;"")),FILTER(live,COUNTIF(cat,live)=0)),10),""))</f>
        <v/>
      </c>
      <c r="D102" s="44" t="n"/>
      <c r="E102" s="44">
        <f>$I$3</f>
        <v/>
      </c>
      <c r="F102" s="45">
        <f>IF(D102="","",D102+$I$3)</f>
        <v/>
      </c>
      <c r="G102" s="42" t="inlineStr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0" t="inlineStr"/>
      <c r="B103" s="47" t="inlineStr"/>
      <c r="C103" s="48">
        <f>IF($M$2&lt;&gt;"Round Bar","",IFERROR(INDEX(LET(cat,$C$8:$C$92,box,VSTACK($P$2,$L$7:$L$26),live,UNIQUE(FILTER(VSTACK(cat,box),VSTACK(cat,box)&lt;&gt;"")),FILTER(live,COUNTIF(cat,live)=0)),11),""))</f>
        <v/>
      </c>
      <c r="D103" s="49" t="n"/>
      <c r="E103" s="49">
        <f>$I$3</f>
        <v/>
      </c>
      <c r="F103" s="50">
        <f>IF(D103="","",D103+$I$3)</f>
        <v/>
      </c>
      <c r="G103" s="47" t="inlineStr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16" t="inlineStr"/>
      <c r="B104" s="42" t="inlineStr"/>
      <c r="C104" s="43">
        <f>IF($M$2&lt;&gt;"Round Bar","",IFERROR(INDEX(LET(cat,$C$8:$C$92,box,VSTACK($P$2,$L$7:$L$26),live,UNIQUE(FILTER(VSTACK(cat,box),VSTACK(cat,box)&lt;&gt;"")),FILTER(live,COUNTIF(cat,live)=0)),12),""))</f>
        <v/>
      </c>
      <c r="D104" s="44" t="n"/>
      <c r="E104" s="44">
        <f>$I$3</f>
        <v/>
      </c>
      <c r="F104" s="45">
        <f>IF(D104="","",D104+$I$3)</f>
        <v/>
      </c>
      <c r="G104" s="42" t="inlineStr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0" t="inlineStr"/>
      <c r="B105" s="47" t="inlineStr"/>
      <c r="C105" s="48">
        <f>IF($M$2&lt;&gt;"Round Bar","",IFERROR(INDEX(LET(cat,$C$8:$C$92,box,VSTACK($P$2,$L$7:$L$26),live,UNIQUE(FILTER(VSTACK(cat,box),VSTACK(cat,box)&lt;&gt;"")),FILTER(live,COUNTIF(cat,live)=0)),13),""))</f>
        <v/>
      </c>
      <c r="D105" s="49" t="n"/>
      <c r="E105" s="49">
        <f>$I$3</f>
        <v/>
      </c>
      <c r="F105" s="50">
        <f>IF(D105="","",D105+$I$3)</f>
        <v/>
      </c>
      <c r="G105" s="47" t="inlineStr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16" t="inlineStr"/>
      <c r="B106" s="42" t="inlineStr"/>
      <c r="C106" s="43">
        <f>IF($M$2&lt;&gt;"Round Bar","",IFERROR(INDEX(LET(cat,$C$8:$C$92,box,VSTACK($P$2,$L$7:$L$26),live,UNIQUE(FILTER(VSTACK(cat,box),VSTACK(cat,box)&lt;&gt;"")),FILTER(live,COUNTIF(cat,live)=0)),14),""))</f>
        <v/>
      </c>
      <c r="D106" s="44" t="n"/>
      <c r="E106" s="44">
        <f>$I$3</f>
        <v/>
      </c>
      <c r="F106" s="45">
        <f>IF(D106="","",D106+$I$3)</f>
        <v/>
      </c>
      <c r="G106" s="42" t="inlineStr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/>
      <c r="B107" s="47" t="inlineStr"/>
      <c r="C107" s="48">
        <f>IF($M$2&lt;&gt;"Round Bar","",IFERROR(INDEX(LET(cat,$C$8:$C$92,box,VSTACK($P$2,$L$7:$L$26),live,UNIQUE(FILTER(VSTACK(cat,box),VSTACK(cat,box)&lt;&gt;"")),FILTER(live,COUNTIF(cat,live)=0)),15),""))</f>
        <v/>
      </c>
      <c r="D107" s="49" t="n"/>
      <c r="E107" s="49">
        <f>$I$3</f>
        <v/>
      </c>
      <c r="F107" s="50">
        <f>IF(D107="","",D107+$I$3)</f>
        <v/>
      </c>
      <c r="G107" s="47" t="inlineStr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16" t="inlineStr"/>
      <c r="B108" s="42" t="inlineStr"/>
      <c r="C108" s="43">
        <f>IF($M$2&lt;&gt;"Round Bar","",IFERROR(INDEX(LET(cat,$C$8:$C$92,box,VSTACK($P$2,$L$7:$L$26),live,UNIQUE(FILTER(VSTACK(cat,box),VSTACK(cat,box)&lt;&gt;"")),FILTER(live,COUNTIF(cat,live)=0)),16),""))</f>
        <v/>
      </c>
      <c r="D108" s="44" t="n"/>
      <c r="E108" s="44">
        <f>$I$3</f>
        <v/>
      </c>
      <c r="F108" s="45">
        <f>IF(D108="","",D108+$I$3)</f>
        <v/>
      </c>
      <c r="G108" s="42" t="inlineStr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0" t="inlineStr"/>
      <c r="B109" s="47" t="inlineStr"/>
      <c r="C109" s="48">
        <f>IF($M$2&lt;&gt;"Round Bar","",IFERROR(INDEX(LET(cat,$C$8:$C$92,box,VSTACK($P$2,$L$7:$L$26),live,UNIQUE(FILTER(VSTACK(cat,box),VSTACK(cat,box)&lt;&gt;"")),FILTER(live,COUNTIF(cat,live)=0)),17),""))</f>
        <v/>
      </c>
      <c r="D109" s="49" t="n"/>
      <c r="E109" s="49">
        <f>$I$3</f>
        <v/>
      </c>
      <c r="F109" s="50">
        <f>IF(D109="","",D109+$I$3)</f>
        <v/>
      </c>
      <c r="G109" s="47" t="inlineStr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16" t="inlineStr"/>
      <c r="B110" s="42" t="inlineStr"/>
      <c r="C110" s="43">
        <f>IF($M$2&lt;&gt;"Round Bar","",IFERROR(INDEX(LET(cat,$C$8:$C$92,box,VSTACK($P$2,$L$7:$L$26),live,UNIQUE(FILTER(VSTACK(cat,box),VSTACK(cat,box)&lt;&gt;"")),FILTER(live,COUNTIF(cat,live)=0)),18),""))</f>
        <v/>
      </c>
      <c r="D110" s="44" t="n"/>
      <c r="E110" s="44">
        <f>$I$3</f>
        <v/>
      </c>
      <c r="F110" s="45">
        <f>IF(D110="","",D110+$I$3)</f>
        <v/>
      </c>
      <c r="G110" s="42" t="inlineStr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0" t="inlineStr"/>
      <c r="B111" s="47" t="inlineStr"/>
      <c r="C111" s="48">
        <f>IF($M$2&lt;&gt;"Round Bar","",IFERROR(INDEX(LET(cat,$C$8:$C$92,box,VSTACK($P$2,$L$7:$L$26),live,UNIQUE(FILTER(VSTACK(cat,box),VSTACK(cat,box)&lt;&gt;"")),FILTER(live,COUNTIF(cat,live)=0)),19),""))</f>
        <v/>
      </c>
      <c r="D111" s="49" t="n"/>
      <c r="E111" s="49">
        <f>$I$3</f>
        <v/>
      </c>
      <c r="F111" s="50">
        <f>IF(D111="","",D111+$I$3)</f>
        <v/>
      </c>
      <c r="G111" s="47" t="inlineStr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16" t="inlineStr"/>
      <c r="B112" s="42" t="inlineStr"/>
      <c r="C112" s="43">
        <f>IF($M$2&lt;&gt;"Round Bar","",IFERROR(INDEX(LET(cat,$C$8:$C$92,box,VSTACK($P$2,$L$7:$L$26),live,UNIQUE(FILTER(VSTACK(cat,box),VSTACK(cat,box)&lt;&gt;"")),FILTER(live,COUNTIF(cat,live)=0)),20),""))</f>
        <v/>
      </c>
      <c r="D112" s="44" t="n"/>
      <c r="E112" s="44">
        <f>$I$3</f>
        <v/>
      </c>
      <c r="F112" s="45">
        <f>IF(D112="","",D112+$I$3)</f>
        <v/>
      </c>
      <c r="G112" s="42" t="inlineStr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540"/>
    <outlinePr summaryBelow="1" summaryRight="1"/>
    <pageSetUpPr fitToPage="1"/>
  </sheetPr>
  <dimension ref="A1:P19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MS Bright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Square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Square Bar · Hex Bar · Flat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shape",IF($M$2="Square Bar",IF(OR(COUNTIF($C$8:$C$25,$P$2)&gt;0,COUNTIF($L$7:$L$26,$P$2)&gt;0),"Already added — skipped","Added"),IF($M$2="Hex Bar",IF(OR(COUNTIF($C$49:$C$70,$P$2)&gt;0,COUNTIF($L$7:$L$26,$P$2)&gt;0),"Already added — skipped","Added"),IF($M$2="Flat Bar",IF(OR(COUNTIF($E$94:$E$169,$P$2)&gt;0,COUNTIF($L$7:$L$26,$P$2)&gt;0),"Already added — skipped","Added"),"Pick a shape that exists on this sheet"))))</f>
        <v/>
      </c>
      <c r="N5" s="37" t="n"/>
      <c r="O5" s="37" t="n"/>
      <c r="P5" s="32" t="n"/>
    </row>
    <row r="6" ht="22" customHeight="1">
      <c r="A6" s="38" t="inlineStr">
        <is>
          <t>SQUARE BAR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Square Bar</t>
        </is>
      </c>
      <c r="B8" s="42" t="inlineStr"/>
      <c r="C8" s="43" t="n">
        <v>8</v>
      </c>
      <c r="D8" s="44" t="n"/>
      <c r="E8" s="44">
        <f>$I$3</f>
        <v/>
      </c>
      <c r="F8" s="45">
        <f>IF(D8="","",D8+$I$3)</f>
        <v/>
      </c>
      <c r="G8" s="42" t="inlineStr"/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Square Bar</t>
        </is>
      </c>
      <c r="B9" s="47" t="inlineStr"/>
      <c r="C9" s="48" t="n">
        <v>10</v>
      </c>
      <c r="D9" s="49" t="n"/>
      <c r="E9" s="49">
        <f>$I$3</f>
        <v/>
      </c>
      <c r="F9" s="50">
        <f>IF(D9="","",D9+$I$3)</f>
        <v/>
      </c>
      <c r="G9" s="47" t="inlineStr"/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Square Bar</t>
        </is>
      </c>
      <c r="B10" s="42" t="inlineStr"/>
      <c r="C10" s="43" t="n">
        <v>12</v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Square Bar</t>
        </is>
      </c>
      <c r="B11" s="47" t="inlineStr"/>
      <c r="C11" s="48" t="n">
        <v>12.7</v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Square Bar</t>
        </is>
      </c>
      <c r="B12" s="42" t="inlineStr"/>
      <c r="C12" s="43" t="n">
        <v>14.2</v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Square Bar</t>
        </is>
      </c>
      <c r="B13" s="47" t="inlineStr"/>
      <c r="C13" s="48" t="n">
        <v>16</v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Square Bar</t>
        </is>
      </c>
      <c r="B14" s="42" t="inlineStr"/>
      <c r="C14" s="43" t="n">
        <v>19</v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Square Bar</t>
        </is>
      </c>
      <c r="B15" s="47" t="inlineStr"/>
      <c r="C15" s="48" t="n">
        <v>20</v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Square Bar</t>
        </is>
      </c>
      <c r="B16" s="42" t="inlineStr"/>
      <c r="C16" s="43" t="n">
        <v>22</v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Square Bar</t>
        </is>
      </c>
      <c r="B17" s="47" t="inlineStr"/>
      <c r="C17" s="48" t="n">
        <v>25.4</v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Square Bar</t>
        </is>
      </c>
      <c r="B18" s="42" t="inlineStr"/>
      <c r="C18" s="43" t="n">
        <v>28</v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Square Bar</t>
        </is>
      </c>
      <c r="B19" s="47" t="inlineStr"/>
      <c r="C19" s="48" t="n">
        <v>30</v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Square Bar</t>
        </is>
      </c>
      <c r="B20" s="42" t="inlineStr"/>
      <c r="C20" s="43" t="n">
        <v>32</v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Square Bar</t>
        </is>
      </c>
      <c r="B21" s="47" t="inlineStr"/>
      <c r="C21" s="48" t="n">
        <v>38</v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Square Bar</t>
        </is>
      </c>
      <c r="B22" s="42" t="inlineStr"/>
      <c r="C22" s="43" t="n">
        <v>40</v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Square Bar</t>
        </is>
      </c>
      <c r="B23" s="47" t="inlineStr"/>
      <c r="C23" s="48" t="n">
        <v>45</v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Square Bar</t>
        </is>
      </c>
      <c r="B24" s="42" t="inlineStr"/>
      <c r="C24" s="43" t="n">
        <v>50</v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Square Bar</t>
        </is>
      </c>
      <c r="B25" s="47" t="inlineStr"/>
      <c r="C25" s="48" t="n">
        <v>63</v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IF($M$2&lt;&gt;"Square Bar","",IFERROR(INDEX(LET(cat,$C$8:$C$25,box,VSTACK($P$2,$L$7:$L$26),live,UNIQUE(FILTER(VSTACK(cat,box),VSTACK(cat,box)&lt;&gt;"")),FILTER(live,COUNTIF(cat,live)=0)),1),""))</f>
        <v/>
      </c>
      <c r="D26" s="44" t="n"/>
      <c r="E26" s="44">
        <f>$I$3</f>
        <v/>
      </c>
      <c r="F26" s="45">
        <f>IF(D26="","",D26+$I$3)</f>
        <v/>
      </c>
      <c r="G26" s="46" t="inlineStr">
        <is>
          <t>New size from Add Size — type a base price; selling uses $I$3</t>
        </is>
      </c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IF($M$2&lt;&gt;"Square Bar","",IFERROR(INDEX(LET(cat,$C$8:$C$25,box,VSTACK($P$2,$L$7:$L$26),live,UNIQUE(FILTER(VSTACK(cat,box),VSTACK(cat,box)&lt;&gt;"")),FILTER(live,COUNTIF(cat,live)=0)),2),""))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IF($M$2&lt;&gt;"Square Bar","",IFERROR(INDEX(LET(cat,$C$8:$C$25,box,VSTACK($P$2,$L$7:$L$26),live,UNIQUE(FILTER(VSTACK(cat,box),VSTACK(cat,box)&lt;&gt;"")),FILTER(live,COUNTIF(cat,live)=0)),3),""))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/>
      <c r="B29" s="47" t="inlineStr"/>
      <c r="C29" s="48">
        <f>IF($M$2&lt;&gt;"Square Bar","",IFERROR(INDEX(LET(cat,$C$8:$C$25,box,VSTACK($P$2,$L$7:$L$26),live,UNIQUE(FILTER(VSTACK(cat,box),VSTACK(cat,box)&lt;&gt;"")),FILTER(live,COUNTIF(cat,live)=0)),4),""))</f>
        <v/>
      </c>
      <c r="D29" s="49" t="n"/>
      <c r="E29" s="49">
        <f>$I$3</f>
        <v/>
      </c>
      <c r="F29" s="50">
        <f>IF(D29="","",D29+$I$3)</f>
        <v/>
      </c>
      <c r="G29" s="47" t="inlineStr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/>
      <c r="B30" s="42" t="inlineStr"/>
      <c r="C30" s="43">
        <f>IF($M$2&lt;&gt;"Square Bar","",IFERROR(INDEX(LET(cat,$C$8:$C$25,box,VSTACK($P$2,$L$7:$L$26),live,UNIQUE(FILTER(VSTACK(cat,box),VSTACK(cat,box)&lt;&gt;"")),FILTER(live,COUNTIF(cat,live)=0)),5),""))</f>
        <v/>
      </c>
      <c r="D30" s="44" t="n"/>
      <c r="E30" s="44">
        <f>$I$3</f>
        <v/>
      </c>
      <c r="F30" s="45">
        <f>IF(D30="","",D30+$I$3)</f>
        <v/>
      </c>
      <c r="G30" s="42" t="inlineStr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/>
      <c r="B31" s="47" t="inlineStr"/>
      <c r="C31" s="48">
        <f>IF($M$2&lt;&gt;"Square Bar","",IFERROR(INDEX(LET(cat,$C$8:$C$25,box,VSTACK($P$2,$L$7:$L$26),live,UNIQUE(FILTER(VSTACK(cat,box),VSTACK(cat,box)&lt;&gt;"")),FILTER(live,COUNTIF(cat,live)=0)),6),""))</f>
        <v/>
      </c>
      <c r="D31" s="49" t="n"/>
      <c r="E31" s="49">
        <f>$I$3</f>
        <v/>
      </c>
      <c r="F31" s="50">
        <f>IF(D31="","",D31+$I$3)</f>
        <v/>
      </c>
      <c r="G31" s="47" t="inlineStr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/>
      <c r="B32" s="42" t="inlineStr"/>
      <c r="C32" s="43">
        <f>IF($M$2&lt;&gt;"Square Bar","",IFERROR(INDEX(LET(cat,$C$8:$C$25,box,VSTACK($P$2,$L$7:$L$26),live,UNIQUE(FILTER(VSTACK(cat,box),VSTACK(cat,box)&lt;&gt;"")),FILTER(live,COUNTIF(cat,live)=0)),7),""))</f>
        <v/>
      </c>
      <c r="D32" s="44" t="n"/>
      <c r="E32" s="44">
        <f>$I$3</f>
        <v/>
      </c>
      <c r="F32" s="45">
        <f>IF(D32="","",D32+$I$3)</f>
        <v/>
      </c>
      <c r="G32" s="42" t="inlineStr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/>
      <c r="B33" s="47" t="inlineStr"/>
      <c r="C33" s="48">
        <f>IF($M$2&lt;&gt;"Square Bar","",IFERROR(INDEX(LET(cat,$C$8:$C$25,box,VSTACK($P$2,$L$7:$L$26),live,UNIQUE(FILTER(VSTACK(cat,box),VSTACK(cat,box)&lt;&gt;"")),FILTER(live,COUNTIF(cat,live)=0)),8),""))</f>
        <v/>
      </c>
      <c r="D33" s="49" t="n"/>
      <c r="E33" s="49">
        <f>$I$3</f>
        <v/>
      </c>
      <c r="F33" s="50">
        <f>IF(D33="","",D33+$I$3)</f>
        <v/>
      </c>
      <c r="G33" s="47" t="inlineStr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/>
      <c r="B34" s="42" t="inlineStr"/>
      <c r="C34" s="43">
        <f>IF($M$2&lt;&gt;"Square Bar","",IFERROR(INDEX(LET(cat,$C$8:$C$25,box,VSTACK($P$2,$L$7:$L$26),live,UNIQUE(FILTER(VSTACK(cat,box),VSTACK(cat,box)&lt;&gt;"")),FILTER(live,COUNTIF(cat,live)=0)),9),""))</f>
        <v/>
      </c>
      <c r="D34" s="44" t="n"/>
      <c r="E34" s="44">
        <f>$I$3</f>
        <v/>
      </c>
      <c r="F34" s="45">
        <f>IF(D34="","",D34+$I$3)</f>
        <v/>
      </c>
      <c r="G34" s="42" t="inlineStr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/>
      <c r="B35" s="47" t="inlineStr"/>
      <c r="C35" s="48">
        <f>IF($M$2&lt;&gt;"Square Bar","",IFERROR(INDEX(LET(cat,$C$8:$C$25,box,VSTACK($P$2,$L$7:$L$26),live,UNIQUE(FILTER(VSTACK(cat,box),VSTACK(cat,box)&lt;&gt;"")),FILTER(live,COUNTIF(cat,live)=0)),10),""))</f>
        <v/>
      </c>
      <c r="D35" s="49" t="n"/>
      <c r="E35" s="49">
        <f>$I$3</f>
        <v/>
      </c>
      <c r="F35" s="50">
        <f>IF(D35="","",D35+$I$3)</f>
        <v/>
      </c>
      <c r="G35" s="47" t="inlineStr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/>
      <c r="B36" s="42" t="inlineStr"/>
      <c r="C36" s="43">
        <f>IF($M$2&lt;&gt;"Square Bar","",IFERROR(INDEX(LET(cat,$C$8:$C$25,box,VSTACK($P$2,$L$7:$L$26),live,UNIQUE(FILTER(VSTACK(cat,box),VSTACK(cat,box)&lt;&gt;"")),FILTER(live,COUNTIF(cat,live)=0)),11),""))</f>
        <v/>
      </c>
      <c r="D36" s="44" t="n"/>
      <c r="E36" s="44">
        <f>$I$3</f>
        <v/>
      </c>
      <c r="F36" s="45">
        <f>IF(D36="","",D36+$I$3)</f>
        <v/>
      </c>
      <c r="G36" s="42" t="inlineStr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/>
      <c r="B37" s="47" t="inlineStr"/>
      <c r="C37" s="48">
        <f>IF($M$2&lt;&gt;"Square Bar","",IFERROR(INDEX(LET(cat,$C$8:$C$25,box,VSTACK($P$2,$L$7:$L$26),live,UNIQUE(FILTER(VSTACK(cat,box),VSTACK(cat,box)&lt;&gt;"")),FILTER(live,COUNTIF(cat,live)=0)),12),""))</f>
        <v/>
      </c>
      <c r="D37" s="49" t="n"/>
      <c r="E37" s="49">
        <f>$I$3</f>
        <v/>
      </c>
      <c r="F37" s="50">
        <f>IF(D37="","",D37+$I$3)</f>
        <v/>
      </c>
      <c r="G37" s="47" t="inlineStr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/>
      <c r="B38" s="42" t="inlineStr"/>
      <c r="C38" s="43">
        <f>IF($M$2&lt;&gt;"Square Bar","",IFERROR(INDEX(LET(cat,$C$8:$C$25,box,VSTACK($P$2,$L$7:$L$26),live,UNIQUE(FILTER(VSTACK(cat,box),VSTACK(cat,box)&lt;&gt;"")),FILTER(live,COUNTIF(cat,live)=0)),13),""))</f>
        <v/>
      </c>
      <c r="D38" s="44" t="n"/>
      <c r="E38" s="44">
        <f>$I$3</f>
        <v/>
      </c>
      <c r="F38" s="45">
        <f>IF(D38="","",D38+$I$3)</f>
        <v/>
      </c>
      <c r="G38" s="42" t="inlineStr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/>
      <c r="B39" s="47" t="inlineStr"/>
      <c r="C39" s="48">
        <f>IF($M$2&lt;&gt;"Square Bar","",IFERROR(INDEX(LET(cat,$C$8:$C$25,box,VSTACK($P$2,$L$7:$L$26),live,UNIQUE(FILTER(VSTACK(cat,box),VSTACK(cat,box)&lt;&gt;"")),FILTER(live,COUNTIF(cat,live)=0)),14),""))</f>
        <v/>
      </c>
      <c r="D39" s="49" t="n"/>
      <c r="E39" s="49">
        <f>$I$3</f>
        <v/>
      </c>
      <c r="F39" s="50">
        <f>IF(D39="","",D39+$I$3)</f>
        <v/>
      </c>
      <c r="G39" s="47" t="inlineStr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/>
      <c r="B40" s="42" t="inlineStr"/>
      <c r="C40" s="43">
        <f>IF($M$2&lt;&gt;"Square Bar","",IFERROR(INDEX(LET(cat,$C$8:$C$25,box,VSTACK($P$2,$L$7:$L$26),live,UNIQUE(FILTER(VSTACK(cat,box),VSTACK(cat,box)&lt;&gt;"")),FILTER(live,COUNTIF(cat,live)=0)),15),""))</f>
        <v/>
      </c>
      <c r="D40" s="44" t="n"/>
      <c r="E40" s="44">
        <f>$I$3</f>
        <v/>
      </c>
      <c r="F40" s="45">
        <f>IF(D40="","",D40+$I$3)</f>
        <v/>
      </c>
      <c r="G40" s="42" t="inlineStr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/>
      <c r="B41" s="47" t="inlineStr"/>
      <c r="C41" s="48">
        <f>IF($M$2&lt;&gt;"Square Bar","",IFERROR(INDEX(LET(cat,$C$8:$C$25,box,VSTACK($P$2,$L$7:$L$26),live,UNIQUE(FILTER(VSTACK(cat,box),VSTACK(cat,box)&lt;&gt;"")),FILTER(live,COUNTIF(cat,live)=0)),16),""))</f>
        <v/>
      </c>
      <c r="D41" s="49" t="n"/>
      <c r="E41" s="49">
        <f>$I$3</f>
        <v/>
      </c>
      <c r="F41" s="50">
        <f>IF(D41="","",D41+$I$3)</f>
        <v/>
      </c>
      <c r="G41" s="47" t="inlineStr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/>
      <c r="B42" s="42" t="inlineStr"/>
      <c r="C42" s="43">
        <f>IF($M$2&lt;&gt;"Square Bar","",IFERROR(INDEX(LET(cat,$C$8:$C$25,box,VSTACK($P$2,$L$7:$L$26),live,UNIQUE(FILTER(VSTACK(cat,box),VSTACK(cat,box)&lt;&gt;"")),FILTER(live,COUNTIF(cat,live)=0)),17),""))</f>
        <v/>
      </c>
      <c r="D42" s="44" t="n"/>
      <c r="E42" s="44">
        <f>$I$3</f>
        <v/>
      </c>
      <c r="F42" s="45">
        <f>IF(D42="","",D42+$I$3)</f>
        <v/>
      </c>
      <c r="G42" s="42" t="inlineStr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/>
      <c r="B43" s="47" t="inlineStr"/>
      <c r="C43" s="48">
        <f>IF($M$2&lt;&gt;"Square Bar","",IFERROR(INDEX(LET(cat,$C$8:$C$25,box,VSTACK($P$2,$L$7:$L$26),live,UNIQUE(FILTER(VSTACK(cat,box),VSTACK(cat,box)&lt;&gt;"")),FILTER(live,COUNTIF(cat,live)=0)),18),""))</f>
        <v/>
      </c>
      <c r="D43" s="49" t="n"/>
      <c r="E43" s="49">
        <f>$I$3</f>
        <v/>
      </c>
      <c r="F43" s="50">
        <f>IF(D43="","",D43+$I$3)</f>
        <v/>
      </c>
      <c r="G43" s="47" t="inlineStr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/>
      <c r="B44" s="42" t="inlineStr"/>
      <c r="C44" s="43">
        <f>IF($M$2&lt;&gt;"Square Bar","",IFERROR(INDEX(LET(cat,$C$8:$C$25,box,VSTACK($P$2,$L$7:$L$26),live,UNIQUE(FILTER(VSTACK(cat,box),VSTACK(cat,box)&lt;&gt;"")),FILTER(live,COUNTIF(cat,live)=0)),19),""))</f>
        <v/>
      </c>
      <c r="D44" s="44" t="n"/>
      <c r="E44" s="44">
        <f>$I$3</f>
        <v/>
      </c>
      <c r="F44" s="45">
        <f>IF(D44="","",D44+$I$3)</f>
        <v/>
      </c>
      <c r="G44" s="42" t="inlineStr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/>
      <c r="B45" s="47" t="inlineStr"/>
      <c r="C45" s="48">
        <f>IF($M$2&lt;&gt;"Square Bar","",IFERROR(INDEX(LET(cat,$C$8:$C$25,box,VSTACK($P$2,$L$7:$L$26),live,UNIQUE(FILTER(VSTACK(cat,box),VSTACK(cat,box)&lt;&gt;"")),FILTER(live,COUNTIF(cat,live)=0)),20),""))</f>
        <v/>
      </c>
      <c r="D45" s="49" t="n"/>
      <c r="E45" s="49">
        <f>$I$3</f>
        <v/>
      </c>
      <c r="F45" s="50">
        <f>IF(D45="","",D45+$I$3)</f>
        <v/>
      </c>
      <c r="G45" s="47" t="inlineStr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 ht="22" customHeight="1">
      <c r="A47" s="38" t="inlineStr">
        <is>
          <t>HEX BAR</t>
        </is>
      </c>
      <c r="B47" s="38" t="n"/>
      <c r="C47" s="38" t="n"/>
      <c r="D47" s="38" t="n"/>
      <c r="E47" s="38" t="n"/>
      <c r="F47" s="38" t="n"/>
      <c r="G47" s="38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 ht="22" customHeight="1">
      <c r="A48" s="13" t="inlineStr">
        <is>
          <t>Sub-type</t>
        </is>
      </c>
      <c r="B48" s="13" t="inlineStr">
        <is>
          <t>Make / notes</t>
        </is>
      </c>
      <c r="C48" s="13" t="inlineStr">
        <is>
          <t>Size (mm)</t>
        </is>
      </c>
      <c r="D48" s="13" t="inlineStr">
        <is>
          <t>Base Price (Rs/kg)</t>
        </is>
      </c>
      <c r="E48" s="13" t="inlineStr">
        <is>
          <t>Daily Adj</t>
        </is>
      </c>
      <c r="F48" s="13" t="inlineStr">
        <is>
          <t>Selling Price (Rs/kg)</t>
        </is>
      </c>
      <c r="G48" s="13" t="inlineStr">
        <is>
          <t>Notes</t>
        </is>
      </c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0" t="inlineStr">
        <is>
          <t>Hex Bar</t>
        </is>
      </c>
      <c r="B49" s="47" t="inlineStr"/>
      <c r="C49" s="48" t="n">
        <v>12</v>
      </c>
      <c r="D49" s="49" t="n"/>
      <c r="E49" s="49">
        <f>$I$3</f>
        <v/>
      </c>
      <c r="F49" s="50">
        <f>IF(D49="","",D49+$I$3)</f>
        <v/>
      </c>
      <c r="G49" s="47" t="inlineStr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16" t="inlineStr">
        <is>
          <t>Hex Bar</t>
        </is>
      </c>
      <c r="B50" s="42" t="inlineStr"/>
      <c r="C50" s="43" t="n">
        <v>12.7</v>
      </c>
      <c r="D50" s="44" t="n"/>
      <c r="E50" s="44">
        <f>$I$3</f>
        <v/>
      </c>
      <c r="F50" s="45">
        <f>IF(D50="","",D50+$I$3)</f>
        <v/>
      </c>
      <c r="G50" s="42" t="inlineStr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0" t="inlineStr">
        <is>
          <t>Hex Bar</t>
        </is>
      </c>
      <c r="B51" s="47" t="inlineStr"/>
      <c r="C51" s="48" t="n">
        <v>14.2</v>
      </c>
      <c r="D51" s="49" t="n"/>
      <c r="E51" s="49">
        <f>$I$3</f>
        <v/>
      </c>
      <c r="F51" s="50">
        <f>IF(D51="","",D51+$I$3)</f>
        <v/>
      </c>
      <c r="G51" s="47" t="inlineStr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16" t="inlineStr">
        <is>
          <t>Hex Bar</t>
        </is>
      </c>
      <c r="B52" s="42" t="inlineStr"/>
      <c r="C52" s="43" t="n">
        <v>16</v>
      </c>
      <c r="D52" s="44" t="n"/>
      <c r="E52" s="44">
        <f>$I$3</f>
        <v/>
      </c>
      <c r="F52" s="45">
        <f>IF(D52="","",D52+$I$3)</f>
        <v/>
      </c>
      <c r="G52" s="42" t="inlineStr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0" t="inlineStr">
        <is>
          <t>Hex Bar</t>
        </is>
      </c>
      <c r="B53" s="47" t="inlineStr"/>
      <c r="C53" s="48" t="n">
        <v>17</v>
      </c>
      <c r="D53" s="49" t="n"/>
      <c r="E53" s="49">
        <f>$I$3</f>
        <v/>
      </c>
      <c r="F53" s="50">
        <f>IF(D53="","",D53+$I$3)</f>
        <v/>
      </c>
      <c r="G53" s="47" t="inlineStr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16" t="inlineStr">
        <is>
          <t>Hex Bar</t>
        </is>
      </c>
      <c r="B54" s="42" t="inlineStr"/>
      <c r="C54" s="43" t="n">
        <v>19</v>
      </c>
      <c r="D54" s="44" t="n"/>
      <c r="E54" s="44">
        <f>$I$3</f>
        <v/>
      </c>
      <c r="F54" s="45">
        <f>IF(D54="","",D54+$I$3)</f>
        <v/>
      </c>
      <c r="G54" s="42" t="inlineStr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0" t="inlineStr">
        <is>
          <t>Hex Bar</t>
        </is>
      </c>
      <c r="B55" s="47" t="inlineStr"/>
      <c r="C55" s="48" t="n">
        <v>22.2</v>
      </c>
      <c r="D55" s="49" t="n"/>
      <c r="E55" s="49">
        <f>$I$3</f>
        <v/>
      </c>
      <c r="F55" s="50">
        <f>IF(D55="","",D55+$I$3)</f>
        <v/>
      </c>
      <c r="G55" s="47" t="inlineStr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16" t="inlineStr">
        <is>
          <t>Hex Bar</t>
        </is>
      </c>
      <c r="B56" s="42" t="inlineStr"/>
      <c r="C56" s="43" t="n">
        <v>24</v>
      </c>
      <c r="D56" s="44" t="n"/>
      <c r="E56" s="44">
        <f>$I$3</f>
        <v/>
      </c>
      <c r="F56" s="45">
        <f>IF(D56="","",D56+$I$3)</f>
        <v/>
      </c>
      <c r="G56" s="42" t="inlineStr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0" t="inlineStr">
        <is>
          <t>Hex Bar</t>
        </is>
      </c>
      <c r="B57" s="47" t="inlineStr"/>
      <c r="C57" s="48" t="n">
        <v>25.4</v>
      </c>
      <c r="D57" s="49" t="n"/>
      <c r="E57" s="49">
        <f>$I$3</f>
        <v/>
      </c>
      <c r="F57" s="50">
        <f>IF(D57="","",D57+$I$3)</f>
        <v/>
      </c>
      <c r="G57" s="47" t="inlineStr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16" t="inlineStr">
        <is>
          <t>Hex Bar</t>
        </is>
      </c>
      <c r="B58" s="42" t="inlineStr"/>
      <c r="C58" s="43" t="n">
        <v>27</v>
      </c>
      <c r="D58" s="44" t="n"/>
      <c r="E58" s="44">
        <f>$I$3</f>
        <v/>
      </c>
      <c r="F58" s="45">
        <f>IF(D58="","",D58+$I$3)</f>
        <v/>
      </c>
      <c r="G58" s="42" t="inlineStr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0" t="inlineStr">
        <is>
          <t>Hex Bar</t>
        </is>
      </c>
      <c r="B59" s="47" t="inlineStr"/>
      <c r="C59" s="48" t="n">
        <v>28.5</v>
      </c>
      <c r="D59" s="49" t="n"/>
      <c r="E59" s="49">
        <f>$I$3</f>
        <v/>
      </c>
      <c r="F59" s="50">
        <f>IF(D59="","",D59+$I$3)</f>
        <v/>
      </c>
      <c r="G59" s="47" t="inlineStr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16" t="inlineStr">
        <is>
          <t>Hex Bar</t>
        </is>
      </c>
      <c r="B60" s="42" t="inlineStr"/>
      <c r="C60" s="43" t="n">
        <v>30</v>
      </c>
      <c r="D60" s="44" t="n"/>
      <c r="E60" s="44">
        <f>$I$3</f>
        <v/>
      </c>
      <c r="F60" s="45">
        <f>IF(D60="","",D60+$I$3)</f>
        <v/>
      </c>
      <c r="G60" s="42" t="inlineStr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0" t="inlineStr">
        <is>
          <t>Hex Bar</t>
        </is>
      </c>
      <c r="B61" s="47" t="inlineStr"/>
      <c r="C61" s="48" t="n">
        <v>32</v>
      </c>
      <c r="D61" s="49" t="n"/>
      <c r="E61" s="49">
        <f>$I$3</f>
        <v/>
      </c>
      <c r="F61" s="50">
        <f>IF(D61="","",D61+$I$3)</f>
        <v/>
      </c>
      <c r="G61" s="47" t="inlineStr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16" t="inlineStr">
        <is>
          <t>Hex Bar</t>
        </is>
      </c>
      <c r="B62" s="42" t="inlineStr"/>
      <c r="C62" s="43" t="n">
        <v>36</v>
      </c>
      <c r="D62" s="44" t="n"/>
      <c r="E62" s="44">
        <f>$I$3</f>
        <v/>
      </c>
      <c r="F62" s="45">
        <f>IF(D62="","",D62+$I$3)</f>
        <v/>
      </c>
      <c r="G62" s="42" t="inlineStr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0" t="inlineStr">
        <is>
          <t>Hex Bar</t>
        </is>
      </c>
      <c r="B63" s="47" t="inlineStr"/>
      <c r="C63" s="48" t="n">
        <v>41</v>
      </c>
      <c r="D63" s="49" t="n"/>
      <c r="E63" s="49">
        <f>$I$3</f>
        <v/>
      </c>
      <c r="F63" s="50">
        <f>IF(D63="","",D63+$I$3)</f>
        <v/>
      </c>
      <c r="G63" s="47" t="inlineStr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16" t="inlineStr">
        <is>
          <t>Hex Bar</t>
        </is>
      </c>
      <c r="B64" s="42" t="inlineStr"/>
      <c r="C64" s="43" t="n">
        <v>46</v>
      </c>
      <c r="D64" s="44" t="n"/>
      <c r="E64" s="44">
        <f>$I$3</f>
        <v/>
      </c>
      <c r="F64" s="45">
        <f>IF(D64="","",D64+$I$3)</f>
        <v/>
      </c>
      <c r="G64" s="42" t="inlineStr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0" t="inlineStr">
        <is>
          <t>Hex Bar</t>
        </is>
      </c>
      <c r="B65" s="47" t="inlineStr"/>
      <c r="C65" s="48" t="n">
        <v>50</v>
      </c>
      <c r="D65" s="49" t="n"/>
      <c r="E65" s="49">
        <f>$I$3</f>
        <v/>
      </c>
      <c r="F65" s="50">
        <f>IF(D65="","",D65+$I$3)</f>
        <v/>
      </c>
      <c r="G65" s="47" t="inlineStr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16" t="inlineStr">
        <is>
          <t>Hex Bar</t>
        </is>
      </c>
      <c r="B66" s="42" t="inlineStr"/>
      <c r="C66" s="43" t="n">
        <v>55</v>
      </c>
      <c r="D66" s="44" t="n"/>
      <c r="E66" s="44">
        <f>$I$3</f>
        <v/>
      </c>
      <c r="F66" s="45">
        <f>IF(D66="","",D66+$I$3)</f>
        <v/>
      </c>
      <c r="G66" s="42" t="inlineStr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0" t="inlineStr">
        <is>
          <t>Hex Bar</t>
        </is>
      </c>
      <c r="B67" s="47" t="inlineStr"/>
      <c r="C67" s="48" t="n">
        <v>60</v>
      </c>
      <c r="D67" s="49" t="n"/>
      <c r="E67" s="49">
        <f>$I$3</f>
        <v/>
      </c>
      <c r="F67" s="50">
        <f>IF(D67="","",D67+$I$3)</f>
        <v/>
      </c>
      <c r="G67" s="47" t="inlineStr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16" t="inlineStr">
        <is>
          <t>Hex Bar</t>
        </is>
      </c>
      <c r="B68" s="42" t="inlineStr"/>
      <c r="C68" s="43" t="n">
        <v>65</v>
      </c>
      <c r="D68" s="44" t="n"/>
      <c r="E68" s="44">
        <f>$I$3</f>
        <v/>
      </c>
      <c r="F68" s="45">
        <f>IF(D68="","",D68+$I$3)</f>
        <v/>
      </c>
      <c r="G68" s="42" t="inlineStr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0" t="inlineStr">
        <is>
          <t>Hex Bar</t>
        </is>
      </c>
      <c r="B69" s="47" t="inlineStr"/>
      <c r="C69" s="48" t="n">
        <v>70</v>
      </c>
      <c r="D69" s="49" t="n"/>
      <c r="E69" s="49">
        <f>$I$3</f>
        <v/>
      </c>
      <c r="F69" s="50">
        <f>IF(D69="","",D69+$I$3)</f>
        <v/>
      </c>
      <c r="G69" s="47" t="inlineStr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16" t="inlineStr">
        <is>
          <t>Hex Bar</t>
        </is>
      </c>
      <c r="B70" s="42" t="inlineStr"/>
      <c r="C70" s="43" t="n">
        <v>75</v>
      </c>
      <c r="D70" s="44" t="n"/>
      <c r="E70" s="44">
        <f>$I$3</f>
        <v/>
      </c>
      <c r="F70" s="45">
        <f>IF(D70="","",D70+$I$3)</f>
        <v/>
      </c>
      <c r="G70" s="42" t="inlineStr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0" t="inlineStr"/>
      <c r="B71" s="47" t="inlineStr"/>
      <c r="C71" s="48">
        <f>IF($M$2&lt;&gt;"Hex Bar","",IFERROR(INDEX(LET(cat,$C$49:$C$70,box,VSTACK($P$2,$L$7:$L$26),live,UNIQUE(FILTER(VSTACK(cat,box),VSTACK(cat,box)&lt;&gt;"")),FILTER(live,COUNTIF(cat,live)=0)),1),""))</f>
        <v/>
      </c>
      <c r="D71" s="49" t="n"/>
      <c r="E71" s="49">
        <f>$I$3</f>
        <v/>
      </c>
      <c r="F71" s="50">
        <f>IF(D71="","",D71+$I$3)</f>
        <v/>
      </c>
      <c r="G71" s="51" t="inlineStr">
        <is>
          <t>New size from Add Size — type a base price; selling uses $I$3</t>
        </is>
      </c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16" t="inlineStr"/>
      <c r="B72" s="42" t="inlineStr"/>
      <c r="C72" s="43">
        <f>IF($M$2&lt;&gt;"Hex Bar","",IFERROR(INDEX(LET(cat,$C$49:$C$70,box,VSTACK($P$2,$L$7:$L$26),live,UNIQUE(FILTER(VSTACK(cat,box),VSTACK(cat,box)&lt;&gt;"")),FILTER(live,COUNTIF(cat,live)=0)),2),""))</f>
        <v/>
      </c>
      <c r="D72" s="44" t="n"/>
      <c r="E72" s="44">
        <f>$I$3</f>
        <v/>
      </c>
      <c r="F72" s="45">
        <f>IF(D72="","",D72+$I$3)</f>
        <v/>
      </c>
      <c r="G72" s="42" t="inlineStr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0" t="inlineStr"/>
      <c r="B73" s="47" t="inlineStr"/>
      <c r="C73" s="48">
        <f>IF($M$2&lt;&gt;"Hex Bar","",IFERROR(INDEX(LET(cat,$C$49:$C$70,box,VSTACK($P$2,$L$7:$L$26),live,UNIQUE(FILTER(VSTACK(cat,box),VSTACK(cat,box)&lt;&gt;"")),FILTER(live,COUNTIF(cat,live)=0)),3),""))</f>
        <v/>
      </c>
      <c r="D73" s="49" t="n"/>
      <c r="E73" s="49">
        <f>$I$3</f>
        <v/>
      </c>
      <c r="F73" s="50">
        <f>IF(D73="","",D73+$I$3)</f>
        <v/>
      </c>
      <c r="G73" s="47" t="inlineStr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16" t="inlineStr"/>
      <c r="B74" s="42" t="inlineStr"/>
      <c r="C74" s="43">
        <f>IF($M$2&lt;&gt;"Hex Bar","",IFERROR(INDEX(LET(cat,$C$49:$C$70,box,VSTACK($P$2,$L$7:$L$26),live,UNIQUE(FILTER(VSTACK(cat,box),VSTACK(cat,box)&lt;&gt;"")),FILTER(live,COUNTIF(cat,live)=0)),4),""))</f>
        <v/>
      </c>
      <c r="D74" s="44" t="n"/>
      <c r="E74" s="44">
        <f>$I$3</f>
        <v/>
      </c>
      <c r="F74" s="45">
        <f>IF(D74="","",D74+$I$3)</f>
        <v/>
      </c>
      <c r="G74" s="42" t="inlineStr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0" t="inlineStr"/>
      <c r="B75" s="47" t="inlineStr"/>
      <c r="C75" s="48">
        <f>IF($M$2&lt;&gt;"Hex Bar","",IFERROR(INDEX(LET(cat,$C$49:$C$70,box,VSTACK($P$2,$L$7:$L$26),live,UNIQUE(FILTER(VSTACK(cat,box),VSTACK(cat,box)&lt;&gt;"")),FILTER(live,COUNTIF(cat,live)=0)),5),""))</f>
        <v/>
      </c>
      <c r="D75" s="49" t="n"/>
      <c r="E75" s="49">
        <f>$I$3</f>
        <v/>
      </c>
      <c r="F75" s="50">
        <f>IF(D75="","",D75+$I$3)</f>
        <v/>
      </c>
      <c r="G75" s="47" t="inlineStr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16" t="inlineStr"/>
      <c r="B76" s="42" t="inlineStr"/>
      <c r="C76" s="43">
        <f>IF($M$2&lt;&gt;"Hex Bar","",IFERROR(INDEX(LET(cat,$C$49:$C$70,box,VSTACK($P$2,$L$7:$L$26),live,UNIQUE(FILTER(VSTACK(cat,box),VSTACK(cat,box)&lt;&gt;"")),FILTER(live,COUNTIF(cat,live)=0)),6),""))</f>
        <v/>
      </c>
      <c r="D76" s="44" t="n"/>
      <c r="E76" s="44">
        <f>$I$3</f>
        <v/>
      </c>
      <c r="F76" s="45">
        <f>IF(D76="","",D76+$I$3)</f>
        <v/>
      </c>
      <c r="G76" s="42" t="inlineStr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0" t="inlineStr"/>
      <c r="B77" s="47" t="inlineStr"/>
      <c r="C77" s="48">
        <f>IF($M$2&lt;&gt;"Hex Bar","",IFERROR(INDEX(LET(cat,$C$49:$C$70,box,VSTACK($P$2,$L$7:$L$26),live,UNIQUE(FILTER(VSTACK(cat,box),VSTACK(cat,box)&lt;&gt;"")),FILTER(live,COUNTIF(cat,live)=0)),7),""))</f>
        <v/>
      </c>
      <c r="D77" s="49" t="n"/>
      <c r="E77" s="49">
        <f>$I$3</f>
        <v/>
      </c>
      <c r="F77" s="50">
        <f>IF(D77="","",D77+$I$3)</f>
        <v/>
      </c>
      <c r="G77" s="47" t="inlineStr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16" t="inlineStr"/>
      <c r="B78" s="42" t="inlineStr"/>
      <c r="C78" s="43">
        <f>IF($M$2&lt;&gt;"Hex Bar","",IFERROR(INDEX(LET(cat,$C$49:$C$70,box,VSTACK($P$2,$L$7:$L$26),live,UNIQUE(FILTER(VSTACK(cat,box),VSTACK(cat,box)&lt;&gt;"")),FILTER(live,COUNTIF(cat,live)=0)),8),""))</f>
        <v/>
      </c>
      <c r="D78" s="44" t="n"/>
      <c r="E78" s="44">
        <f>$I$3</f>
        <v/>
      </c>
      <c r="F78" s="45">
        <f>IF(D78="","",D78+$I$3)</f>
        <v/>
      </c>
      <c r="G78" s="42" t="inlineStr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0" t="inlineStr"/>
      <c r="B79" s="47" t="inlineStr"/>
      <c r="C79" s="48">
        <f>IF($M$2&lt;&gt;"Hex Bar","",IFERROR(INDEX(LET(cat,$C$49:$C$70,box,VSTACK($P$2,$L$7:$L$26),live,UNIQUE(FILTER(VSTACK(cat,box),VSTACK(cat,box)&lt;&gt;"")),FILTER(live,COUNTIF(cat,live)=0)),9),""))</f>
        <v/>
      </c>
      <c r="D79" s="49" t="n"/>
      <c r="E79" s="49">
        <f>$I$3</f>
        <v/>
      </c>
      <c r="F79" s="50">
        <f>IF(D79="","",D79+$I$3)</f>
        <v/>
      </c>
      <c r="G79" s="47" t="inlineStr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16" t="inlineStr"/>
      <c r="B80" s="42" t="inlineStr"/>
      <c r="C80" s="43">
        <f>IF($M$2&lt;&gt;"Hex Bar","",IFERROR(INDEX(LET(cat,$C$49:$C$70,box,VSTACK($P$2,$L$7:$L$26),live,UNIQUE(FILTER(VSTACK(cat,box),VSTACK(cat,box)&lt;&gt;"")),FILTER(live,COUNTIF(cat,live)=0)),10),""))</f>
        <v/>
      </c>
      <c r="D80" s="44" t="n"/>
      <c r="E80" s="44">
        <f>$I$3</f>
        <v/>
      </c>
      <c r="F80" s="45">
        <f>IF(D80="","",D80+$I$3)</f>
        <v/>
      </c>
      <c r="G80" s="42" t="inlineStr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0" t="inlineStr"/>
      <c r="B81" s="47" t="inlineStr"/>
      <c r="C81" s="48">
        <f>IF($M$2&lt;&gt;"Hex Bar","",IFERROR(INDEX(LET(cat,$C$49:$C$70,box,VSTACK($P$2,$L$7:$L$26),live,UNIQUE(FILTER(VSTACK(cat,box),VSTACK(cat,box)&lt;&gt;"")),FILTER(live,COUNTIF(cat,live)=0)),11),""))</f>
        <v/>
      </c>
      <c r="D81" s="49" t="n"/>
      <c r="E81" s="49">
        <f>$I$3</f>
        <v/>
      </c>
      <c r="F81" s="50">
        <f>IF(D81="","",D81+$I$3)</f>
        <v/>
      </c>
      <c r="G81" s="47" t="inlineStr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16" t="inlineStr"/>
      <c r="B82" s="42" t="inlineStr"/>
      <c r="C82" s="43">
        <f>IF($M$2&lt;&gt;"Hex Bar","",IFERROR(INDEX(LET(cat,$C$49:$C$70,box,VSTACK($P$2,$L$7:$L$26),live,UNIQUE(FILTER(VSTACK(cat,box),VSTACK(cat,box)&lt;&gt;"")),FILTER(live,COUNTIF(cat,live)=0)),12),""))</f>
        <v/>
      </c>
      <c r="D82" s="44" t="n"/>
      <c r="E82" s="44">
        <f>$I$3</f>
        <v/>
      </c>
      <c r="F82" s="45">
        <f>IF(D82="","",D82+$I$3)</f>
        <v/>
      </c>
      <c r="G82" s="42" t="inlineStr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0" t="inlineStr"/>
      <c r="B83" s="47" t="inlineStr"/>
      <c r="C83" s="48">
        <f>IF($M$2&lt;&gt;"Hex Bar","",IFERROR(INDEX(LET(cat,$C$49:$C$70,box,VSTACK($P$2,$L$7:$L$26),live,UNIQUE(FILTER(VSTACK(cat,box),VSTACK(cat,box)&lt;&gt;"")),FILTER(live,COUNTIF(cat,live)=0)),13),""))</f>
        <v/>
      </c>
      <c r="D83" s="49" t="n"/>
      <c r="E83" s="49">
        <f>$I$3</f>
        <v/>
      </c>
      <c r="F83" s="50">
        <f>IF(D83="","",D83+$I$3)</f>
        <v/>
      </c>
      <c r="G83" s="47" t="inlineStr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16" t="inlineStr"/>
      <c r="B84" s="42" t="inlineStr"/>
      <c r="C84" s="43">
        <f>IF($M$2&lt;&gt;"Hex Bar","",IFERROR(INDEX(LET(cat,$C$49:$C$70,box,VSTACK($P$2,$L$7:$L$26),live,UNIQUE(FILTER(VSTACK(cat,box),VSTACK(cat,box)&lt;&gt;"")),FILTER(live,COUNTIF(cat,live)=0)),14),""))</f>
        <v/>
      </c>
      <c r="D84" s="44" t="n"/>
      <c r="E84" s="44">
        <f>$I$3</f>
        <v/>
      </c>
      <c r="F84" s="45">
        <f>IF(D84="","",D84+$I$3)</f>
        <v/>
      </c>
      <c r="G84" s="42" t="inlineStr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0" t="inlineStr"/>
      <c r="B85" s="47" t="inlineStr"/>
      <c r="C85" s="48">
        <f>IF($M$2&lt;&gt;"Hex Bar","",IFERROR(INDEX(LET(cat,$C$49:$C$70,box,VSTACK($P$2,$L$7:$L$26),live,UNIQUE(FILTER(VSTACK(cat,box),VSTACK(cat,box)&lt;&gt;"")),FILTER(live,COUNTIF(cat,live)=0)),15),""))</f>
        <v/>
      </c>
      <c r="D85" s="49" t="n"/>
      <c r="E85" s="49">
        <f>$I$3</f>
        <v/>
      </c>
      <c r="F85" s="50">
        <f>IF(D85="","",D85+$I$3)</f>
        <v/>
      </c>
      <c r="G85" s="47" t="inlineStr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16" t="inlineStr"/>
      <c r="B86" s="42" t="inlineStr"/>
      <c r="C86" s="43">
        <f>IF($M$2&lt;&gt;"Hex Bar","",IFERROR(INDEX(LET(cat,$C$49:$C$70,box,VSTACK($P$2,$L$7:$L$26),live,UNIQUE(FILTER(VSTACK(cat,box),VSTACK(cat,box)&lt;&gt;"")),FILTER(live,COUNTIF(cat,live)=0)),16),""))</f>
        <v/>
      </c>
      <c r="D86" s="44" t="n"/>
      <c r="E86" s="44">
        <f>$I$3</f>
        <v/>
      </c>
      <c r="F86" s="45">
        <f>IF(D86="","",D86+$I$3)</f>
        <v/>
      </c>
      <c r="G86" s="42" t="inlineStr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0" t="inlineStr"/>
      <c r="B87" s="47" t="inlineStr"/>
      <c r="C87" s="48">
        <f>IF($M$2&lt;&gt;"Hex Bar","",IFERROR(INDEX(LET(cat,$C$49:$C$70,box,VSTACK($P$2,$L$7:$L$26),live,UNIQUE(FILTER(VSTACK(cat,box),VSTACK(cat,box)&lt;&gt;"")),FILTER(live,COUNTIF(cat,live)=0)),17),""))</f>
        <v/>
      </c>
      <c r="D87" s="49" t="n"/>
      <c r="E87" s="49">
        <f>$I$3</f>
        <v/>
      </c>
      <c r="F87" s="50">
        <f>IF(D87="","",D87+$I$3)</f>
        <v/>
      </c>
      <c r="G87" s="47" t="inlineStr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16" t="inlineStr"/>
      <c r="B88" s="42" t="inlineStr"/>
      <c r="C88" s="43">
        <f>IF($M$2&lt;&gt;"Hex Bar","",IFERROR(INDEX(LET(cat,$C$49:$C$70,box,VSTACK($P$2,$L$7:$L$26),live,UNIQUE(FILTER(VSTACK(cat,box),VSTACK(cat,box)&lt;&gt;"")),FILTER(live,COUNTIF(cat,live)=0)),18),""))</f>
        <v/>
      </c>
      <c r="D88" s="44" t="n"/>
      <c r="E88" s="44">
        <f>$I$3</f>
        <v/>
      </c>
      <c r="F88" s="45">
        <f>IF(D88="","",D88+$I$3)</f>
        <v/>
      </c>
      <c r="G88" s="42" t="inlineStr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0" t="inlineStr"/>
      <c r="B89" s="47" t="inlineStr"/>
      <c r="C89" s="48">
        <f>IF($M$2&lt;&gt;"Hex Bar","",IFERROR(INDEX(LET(cat,$C$49:$C$70,box,VSTACK($P$2,$L$7:$L$26),live,UNIQUE(FILTER(VSTACK(cat,box),VSTACK(cat,box)&lt;&gt;"")),FILTER(live,COUNTIF(cat,live)=0)),19),""))</f>
        <v/>
      </c>
      <c r="D89" s="49" t="n"/>
      <c r="E89" s="49">
        <f>$I$3</f>
        <v/>
      </c>
      <c r="F89" s="50">
        <f>IF(D89="","",D89+$I$3)</f>
        <v/>
      </c>
      <c r="G89" s="47" t="inlineStr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16" t="inlineStr"/>
      <c r="B90" s="42" t="inlineStr"/>
      <c r="C90" s="43">
        <f>IF($M$2&lt;&gt;"Hex Bar","",IFERROR(INDEX(LET(cat,$C$49:$C$70,box,VSTACK($P$2,$L$7:$L$26),live,UNIQUE(FILTER(VSTACK(cat,box),VSTACK(cat,box)&lt;&gt;"")),FILTER(live,COUNTIF(cat,live)=0)),20),""))</f>
        <v/>
      </c>
      <c r="D90" s="44" t="n"/>
      <c r="E90" s="44">
        <f>$I$3</f>
        <v/>
      </c>
      <c r="F90" s="45">
        <f>IF(D90="","",D90+$I$3)</f>
        <v/>
      </c>
      <c r="G90" s="42" t="inlineStr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 ht="22" customHeight="1">
      <c r="A92" s="38" t="inlineStr">
        <is>
          <t>FLAT BAR</t>
        </is>
      </c>
      <c r="B92" s="38" t="n"/>
      <c r="C92" s="38" t="n"/>
      <c r="D92" s="38" t="n"/>
      <c r="E92" s="38" t="n"/>
      <c r="F92" s="38" t="n"/>
      <c r="G92" s="38" t="n"/>
      <c r="H92" s="38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 ht="22" customHeight="1">
      <c r="A93" s="13" t="inlineStr">
        <is>
          <t>Sub-type</t>
        </is>
      </c>
      <c r="B93" s="13" t="inlineStr">
        <is>
          <t>Make / notes</t>
        </is>
      </c>
      <c r="C93" s="13" t="inlineStr">
        <is>
          <t>Thickness (mm)</t>
        </is>
      </c>
      <c r="D93" s="13" t="inlineStr">
        <is>
          <t>Width (mm)</t>
        </is>
      </c>
      <c r="E93" s="13" t="inlineStr">
        <is>
          <t>Size</t>
        </is>
      </c>
      <c r="F93" s="13" t="inlineStr">
        <is>
          <t>Base Price (Rs/kg)</t>
        </is>
      </c>
      <c r="G93" s="13" t="inlineStr">
        <is>
          <t>Daily Adj</t>
        </is>
      </c>
      <c r="H93" s="13" t="inlineStr">
        <is>
          <t>Selling Price (Rs/kg)</t>
        </is>
      </c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16" t="inlineStr">
        <is>
          <t>Rolled</t>
        </is>
      </c>
      <c r="B94" s="42" t="inlineStr"/>
      <c r="C94" s="14" t="n">
        <v>5</v>
      </c>
      <c r="D94" s="14" t="n">
        <v>16</v>
      </c>
      <c r="E94" s="43" t="inlineStr">
        <is>
          <t>5x16</t>
        </is>
      </c>
      <c r="F94" s="44" t="n"/>
      <c r="G94" s="44">
        <f>$I$3</f>
        <v/>
      </c>
      <c r="H94" s="45">
        <f>IF(F94="","",F94+$I$3)</f>
        <v/>
      </c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0" t="inlineStr">
        <is>
          <t>Rolled</t>
        </is>
      </c>
      <c r="B95" s="47" t="inlineStr"/>
      <c r="C95" s="18" t="n">
        <v>5</v>
      </c>
      <c r="D95" s="18" t="n">
        <v>20</v>
      </c>
      <c r="E95" s="48" t="inlineStr">
        <is>
          <t>5x20</t>
        </is>
      </c>
      <c r="F95" s="49" t="n"/>
      <c r="G95" s="49">
        <f>$I$3</f>
        <v/>
      </c>
      <c r="H95" s="50">
        <f>IF(F95="","",F95+$I$3)</f>
        <v/>
      </c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16" t="inlineStr">
        <is>
          <t>Rolled</t>
        </is>
      </c>
      <c r="B96" s="42" t="inlineStr"/>
      <c r="C96" s="14" t="n">
        <v>5</v>
      </c>
      <c r="D96" s="14" t="n">
        <v>25</v>
      </c>
      <c r="E96" s="43" t="inlineStr">
        <is>
          <t>5x25</t>
        </is>
      </c>
      <c r="F96" s="44" t="n"/>
      <c r="G96" s="44">
        <f>$I$3</f>
        <v/>
      </c>
      <c r="H96" s="45">
        <f>IF(F96="","",F96+$I$3)</f>
        <v/>
      </c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0" t="inlineStr">
        <is>
          <t>Rolled</t>
        </is>
      </c>
      <c r="B97" s="47" t="inlineStr"/>
      <c r="C97" s="18" t="n">
        <v>5</v>
      </c>
      <c r="D97" s="18" t="n">
        <v>32</v>
      </c>
      <c r="E97" s="48" t="inlineStr">
        <is>
          <t>5x32</t>
        </is>
      </c>
      <c r="F97" s="49" t="n"/>
      <c r="G97" s="49">
        <f>$I$3</f>
        <v/>
      </c>
      <c r="H97" s="50">
        <f>IF(F97="","",F97+$I$3)</f>
        <v/>
      </c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16" t="inlineStr">
        <is>
          <t>Rolled</t>
        </is>
      </c>
      <c r="B98" s="42" t="inlineStr"/>
      <c r="C98" s="14" t="n">
        <v>5</v>
      </c>
      <c r="D98" s="14" t="n">
        <v>40</v>
      </c>
      <c r="E98" s="43" t="inlineStr">
        <is>
          <t>5x40</t>
        </is>
      </c>
      <c r="F98" s="44" t="n"/>
      <c r="G98" s="44">
        <f>$I$3</f>
        <v/>
      </c>
      <c r="H98" s="45">
        <f>IF(F98="","",F98+$I$3)</f>
        <v/>
      </c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0" t="inlineStr">
        <is>
          <t>Rolled</t>
        </is>
      </c>
      <c r="B99" s="47" t="inlineStr"/>
      <c r="C99" s="18" t="n">
        <v>6</v>
      </c>
      <c r="D99" s="18" t="n">
        <v>16</v>
      </c>
      <c r="E99" s="48" t="inlineStr">
        <is>
          <t>6x16</t>
        </is>
      </c>
      <c r="F99" s="49" t="n"/>
      <c r="G99" s="49">
        <f>$I$3</f>
        <v/>
      </c>
      <c r="H99" s="50">
        <f>IF(F99="","",F99+$I$3)</f>
        <v/>
      </c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16" t="inlineStr">
        <is>
          <t>Rolled</t>
        </is>
      </c>
      <c r="B100" s="42" t="inlineStr"/>
      <c r="C100" s="14" t="n">
        <v>6</v>
      </c>
      <c r="D100" s="14" t="n">
        <v>20</v>
      </c>
      <c r="E100" s="43" t="inlineStr">
        <is>
          <t>6x20</t>
        </is>
      </c>
      <c r="F100" s="44" t="n"/>
      <c r="G100" s="44">
        <f>$I$3</f>
        <v/>
      </c>
      <c r="H100" s="45">
        <f>IF(F100="","",F100+$I$3)</f>
        <v/>
      </c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0" t="inlineStr">
        <is>
          <t>Rolled</t>
        </is>
      </c>
      <c r="B101" s="47" t="inlineStr"/>
      <c r="C101" s="18" t="n">
        <v>6</v>
      </c>
      <c r="D101" s="18" t="n">
        <v>25</v>
      </c>
      <c r="E101" s="48" t="inlineStr">
        <is>
          <t>6x25</t>
        </is>
      </c>
      <c r="F101" s="49" t="n"/>
      <c r="G101" s="49">
        <f>$I$3</f>
        <v/>
      </c>
      <c r="H101" s="50">
        <f>IF(F101="","",F101+$I$3)</f>
        <v/>
      </c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16" t="inlineStr">
        <is>
          <t>Rolled</t>
        </is>
      </c>
      <c r="B102" s="42" t="inlineStr"/>
      <c r="C102" s="14" t="n">
        <v>6</v>
      </c>
      <c r="D102" s="14" t="n">
        <v>32</v>
      </c>
      <c r="E102" s="43" t="inlineStr">
        <is>
          <t>6x32</t>
        </is>
      </c>
      <c r="F102" s="44" t="n"/>
      <c r="G102" s="44">
        <f>$I$3</f>
        <v/>
      </c>
      <c r="H102" s="45">
        <f>IF(F102="","",F102+$I$3)</f>
        <v/>
      </c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0" t="inlineStr">
        <is>
          <t>Rolled</t>
        </is>
      </c>
      <c r="B103" s="47" t="inlineStr"/>
      <c r="C103" s="18" t="n">
        <v>6</v>
      </c>
      <c r="D103" s="18" t="n">
        <v>40</v>
      </c>
      <c r="E103" s="48" t="inlineStr">
        <is>
          <t>6x40</t>
        </is>
      </c>
      <c r="F103" s="49" t="n"/>
      <c r="G103" s="49">
        <f>$I$3</f>
        <v/>
      </c>
      <c r="H103" s="50">
        <f>IF(F103="","",F103+$I$3)</f>
        <v/>
      </c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16" t="inlineStr">
        <is>
          <t>Rolled</t>
        </is>
      </c>
      <c r="B104" s="42" t="inlineStr"/>
      <c r="C104" s="14" t="n">
        <v>6</v>
      </c>
      <c r="D104" s="14" t="n">
        <v>50</v>
      </c>
      <c r="E104" s="43" t="inlineStr">
        <is>
          <t>6x50</t>
        </is>
      </c>
      <c r="F104" s="44" t="n"/>
      <c r="G104" s="44">
        <f>$I$3</f>
        <v/>
      </c>
      <c r="H104" s="45">
        <f>IF(F104="","",F104+$I$3)</f>
        <v/>
      </c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0" t="inlineStr">
        <is>
          <t>Rolled</t>
        </is>
      </c>
      <c r="B105" s="47" t="inlineStr"/>
      <c r="C105" s="18" t="n">
        <v>6</v>
      </c>
      <c r="D105" s="18" t="n">
        <v>63</v>
      </c>
      <c r="E105" s="48" t="inlineStr">
        <is>
          <t>6x63</t>
        </is>
      </c>
      <c r="F105" s="49" t="n"/>
      <c r="G105" s="49">
        <f>$I$3</f>
        <v/>
      </c>
      <c r="H105" s="50">
        <f>IF(F105="","",F105+$I$3)</f>
        <v/>
      </c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16" t="inlineStr">
        <is>
          <t>Rolled</t>
        </is>
      </c>
      <c r="B106" s="42" t="inlineStr"/>
      <c r="C106" s="14" t="n">
        <v>6</v>
      </c>
      <c r="D106" s="14" t="n">
        <v>75</v>
      </c>
      <c r="E106" s="43" t="inlineStr">
        <is>
          <t>6x75</t>
        </is>
      </c>
      <c r="F106" s="44" t="n"/>
      <c r="G106" s="44">
        <f>$I$3</f>
        <v/>
      </c>
      <c r="H106" s="45">
        <f>IF(F106="","",F106+$I$3)</f>
        <v/>
      </c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Rolled</t>
        </is>
      </c>
      <c r="B107" s="47" t="inlineStr"/>
      <c r="C107" s="18" t="n">
        <v>6</v>
      </c>
      <c r="D107" s="18" t="n">
        <v>100</v>
      </c>
      <c r="E107" s="48" t="inlineStr">
        <is>
          <t>6x100</t>
        </is>
      </c>
      <c r="F107" s="49" t="n"/>
      <c r="G107" s="49">
        <f>$I$3</f>
        <v/>
      </c>
      <c r="H107" s="50">
        <f>IF(F107="","",F107+$I$3)</f>
        <v/>
      </c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16" t="inlineStr">
        <is>
          <t>Rolled</t>
        </is>
      </c>
      <c r="B108" s="42" t="inlineStr"/>
      <c r="C108" s="14" t="n">
        <v>8</v>
      </c>
      <c r="D108" s="14" t="n">
        <v>16</v>
      </c>
      <c r="E108" s="43" t="inlineStr">
        <is>
          <t>8x16</t>
        </is>
      </c>
      <c r="F108" s="44" t="n"/>
      <c r="G108" s="44">
        <f>$I$3</f>
        <v/>
      </c>
      <c r="H108" s="45">
        <f>IF(F108="","",F108+$I$3)</f>
        <v/>
      </c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0" t="inlineStr">
        <is>
          <t>Rolled</t>
        </is>
      </c>
      <c r="B109" s="47" t="inlineStr"/>
      <c r="C109" s="18" t="n">
        <v>8</v>
      </c>
      <c r="D109" s="18" t="n">
        <v>20</v>
      </c>
      <c r="E109" s="48" t="inlineStr">
        <is>
          <t>8x20</t>
        </is>
      </c>
      <c r="F109" s="49" t="n"/>
      <c r="G109" s="49">
        <f>$I$3</f>
        <v/>
      </c>
      <c r="H109" s="50">
        <f>IF(F109="","",F109+$I$3)</f>
        <v/>
      </c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16" t="inlineStr">
        <is>
          <t>Rolled</t>
        </is>
      </c>
      <c r="B110" s="42" t="inlineStr"/>
      <c r="C110" s="14" t="n">
        <v>8</v>
      </c>
      <c r="D110" s="14" t="n">
        <v>25</v>
      </c>
      <c r="E110" s="43" t="inlineStr">
        <is>
          <t>8x25</t>
        </is>
      </c>
      <c r="F110" s="44" t="n"/>
      <c r="G110" s="44">
        <f>$I$3</f>
        <v/>
      </c>
      <c r="H110" s="45">
        <f>IF(F110="","",F110+$I$3)</f>
        <v/>
      </c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0" t="inlineStr">
        <is>
          <t>Rolled</t>
        </is>
      </c>
      <c r="B111" s="47" t="inlineStr"/>
      <c r="C111" s="18" t="n">
        <v>8</v>
      </c>
      <c r="D111" s="18" t="n">
        <v>32</v>
      </c>
      <c r="E111" s="48" t="inlineStr">
        <is>
          <t>8x32</t>
        </is>
      </c>
      <c r="F111" s="49" t="n"/>
      <c r="G111" s="49">
        <f>$I$3</f>
        <v/>
      </c>
      <c r="H111" s="50">
        <f>IF(F111="","",F111+$I$3)</f>
        <v/>
      </c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16" t="inlineStr">
        <is>
          <t>Rolled</t>
        </is>
      </c>
      <c r="B112" s="42" t="inlineStr"/>
      <c r="C112" s="14" t="n">
        <v>8</v>
      </c>
      <c r="D112" s="14" t="n">
        <v>40</v>
      </c>
      <c r="E112" s="43" t="inlineStr">
        <is>
          <t>8x40</t>
        </is>
      </c>
      <c r="F112" s="44" t="n"/>
      <c r="G112" s="44">
        <f>$I$3</f>
        <v/>
      </c>
      <c r="H112" s="45">
        <f>IF(F112="","",F112+$I$3)</f>
        <v/>
      </c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0" t="inlineStr">
        <is>
          <t>Rolled</t>
        </is>
      </c>
      <c r="B113" s="47" t="inlineStr"/>
      <c r="C113" s="18" t="n">
        <v>8</v>
      </c>
      <c r="D113" s="18" t="n">
        <v>50</v>
      </c>
      <c r="E113" s="48" t="inlineStr">
        <is>
          <t>8x50</t>
        </is>
      </c>
      <c r="F113" s="49" t="n"/>
      <c r="G113" s="49">
        <f>$I$3</f>
        <v/>
      </c>
      <c r="H113" s="50">
        <f>IF(F113="","",F113+$I$3)</f>
        <v/>
      </c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16" t="inlineStr">
        <is>
          <t>Rolled</t>
        </is>
      </c>
      <c r="B114" s="42" t="inlineStr"/>
      <c r="C114" s="14" t="n">
        <v>8</v>
      </c>
      <c r="D114" s="14" t="n">
        <v>60</v>
      </c>
      <c r="E114" s="43" t="inlineStr">
        <is>
          <t>8x60</t>
        </is>
      </c>
      <c r="F114" s="44" t="n"/>
      <c r="G114" s="44">
        <f>$I$3</f>
        <v/>
      </c>
      <c r="H114" s="45">
        <f>IF(F114="","",F114+$I$3)</f>
        <v/>
      </c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0" t="inlineStr">
        <is>
          <t>Rolled</t>
        </is>
      </c>
      <c r="B115" s="47" t="inlineStr"/>
      <c r="C115" s="18" t="n">
        <v>8</v>
      </c>
      <c r="D115" s="18" t="n">
        <v>63</v>
      </c>
      <c r="E115" s="48" t="inlineStr">
        <is>
          <t>8x63</t>
        </is>
      </c>
      <c r="F115" s="49" t="n"/>
      <c r="G115" s="49">
        <f>$I$3</f>
        <v/>
      </c>
      <c r="H115" s="50">
        <f>IF(F115="","",F115+$I$3)</f>
        <v/>
      </c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16" t="inlineStr">
        <is>
          <t>Rolled</t>
        </is>
      </c>
      <c r="B116" s="42" t="inlineStr"/>
      <c r="C116" s="14" t="n">
        <v>8</v>
      </c>
      <c r="D116" s="14" t="n">
        <v>75</v>
      </c>
      <c r="E116" s="43" t="inlineStr">
        <is>
          <t>8x75</t>
        </is>
      </c>
      <c r="F116" s="44" t="n"/>
      <c r="G116" s="44">
        <f>$I$3</f>
        <v/>
      </c>
      <c r="H116" s="45">
        <f>IF(F116="","",F116+$I$3)</f>
        <v/>
      </c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0" t="inlineStr">
        <is>
          <t>Rolled</t>
        </is>
      </c>
      <c r="B117" s="47" t="inlineStr"/>
      <c r="C117" s="18" t="n">
        <v>8</v>
      </c>
      <c r="D117" s="18" t="n">
        <v>100</v>
      </c>
      <c r="E117" s="48" t="inlineStr">
        <is>
          <t>8x100</t>
        </is>
      </c>
      <c r="F117" s="49" t="n"/>
      <c r="G117" s="49">
        <f>$I$3</f>
        <v/>
      </c>
      <c r="H117" s="50">
        <f>IF(F117="","",F117+$I$3)</f>
        <v/>
      </c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16" t="inlineStr">
        <is>
          <t>Rolled</t>
        </is>
      </c>
      <c r="B118" s="42" t="inlineStr"/>
      <c r="C118" s="14" t="n">
        <v>10</v>
      </c>
      <c r="D118" s="14" t="n">
        <v>16</v>
      </c>
      <c r="E118" s="43" t="inlineStr">
        <is>
          <t>10x16</t>
        </is>
      </c>
      <c r="F118" s="44" t="n"/>
      <c r="G118" s="44">
        <f>$I$3</f>
        <v/>
      </c>
      <c r="H118" s="45">
        <f>IF(F118="","",F118+$I$3)</f>
        <v/>
      </c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0" t="inlineStr">
        <is>
          <t>Rolled</t>
        </is>
      </c>
      <c r="B119" s="47" t="inlineStr"/>
      <c r="C119" s="18" t="n">
        <v>10</v>
      </c>
      <c r="D119" s="18" t="n">
        <v>20</v>
      </c>
      <c r="E119" s="48" t="inlineStr">
        <is>
          <t>10x20</t>
        </is>
      </c>
      <c r="F119" s="49" t="n"/>
      <c r="G119" s="49">
        <f>$I$3</f>
        <v/>
      </c>
      <c r="H119" s="50">
        <f>IF(F119="","",F119+$I$3)</f>
        <v/>
      </c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16" t="inlineStr">
        <is>
          <t>Rolled</t>
        </is>
      </c>
      <c r="B120" s="42" t="inlineStr"/>
      <c r="C120" s="14" t="n">
        <v>10</v>
      </c>
      <c r="D120" s="14" t="n">
        <v>25</v>
      </c>
      <c r="E120" s="43" t="inlineStr">
        <is>
          <t>10x25</t>
        </is>
      </c>
      <c r="F120" s="44" t="n"/>
      <c r="G120" s="44">
        <f>$I$3</f>
        <v/>
      </c>
      <c r="H120" s="45">
        <f>IF(F120="","",F120+$I$3)</f>
        <v/>
      </c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0" t="inlineStr">
        <is>
          <t>Rolled</t>
        </is>
      </c>
      <c r="B121" s="47" t="inlineStr"/>
      <c r="C121" s="18" t="n">
        <v>10</v>
      </c>
      <c r="D121" s="18" t="n">
        <v>32</v>
      </c>
      <c r="E121" s="48" t="inlineStr">
        <is>
          <t>10x32</t>
        </is>
      </c>
      <c r="F121" s="49" t="n"/>
      <c r="G121" s="49">
        <f>$I$3</f>
        <v/>
      </c>
      <c r="H121" s="50">
        <f>IF(F121="","",F121+$I$3)</f>
        <v/>
      </c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16" t="inlineStr">
        <is>
          <t>Rolled</t>
        </is>
      </c>
      <c r="B122" s="42" t="inlineStr"/>
      <c r="C122" s="14" t="n">
        <v>10</v>
      </c>
      <c r="D122" s="14" t="n">
        <v>40</v>
      </c>
      <c r="E122" s="43" t="inlineStr">
        <is>
          <t>10x40</t>
        </is>
      </c>
      <c r="F122" s="44" t="n"/>
      <c r="G122" s="44">
        <f>$I$3</f>
        <v/>
      </c>
      <c r="H122" s="45">
        <f>IF(F122="","",F122+$I$3)</f>
        <v/>
      </c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0" t="inlineStr">
        <is>
          <t>Rolled</t>
        </is>
      </c>
      <c r="B123" s="47" t="inlineStr"/>
      <c r="C123" s="18" t="n">
        <v>10</v>
      </c>
      <c r="D123" s="18" t="n">
        <v>50</v>
      </c>
      <c r="E123" s="48" t="inlineStr">
        <is>
          <t>10x50</t>
        </is>
      </c>
      <c r="F123" s="49" t="n"/>
      <c r="G123" s="49">
        <f>$I$3</f>
        <v/>
      </c>
      <c r="H123" s="50">
        <f>IF(F123="","",F123+$I$3)</f>
        <v/>
      </c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16" t="inlineStr">
        <is>
          <t>Rolled</t>
        </is>
      </c>
      <c r="B124" s="42" t="inlineStr"/>
      <c r="C124" s="14" t="n">
        <v>10</v>
      </c>
      <c r="D124" s="14" t="n">
        <v>60</v>
      </c>
      <c r="E124" s="43" t="inlineStr">
        <is>
          <t>10x60</t>
        </is>
      </c>
      <c r="F124" s="44" t="n"/>
      <c r="G124" s="44">
        <f>$I$3</f>
        <v/>
      </c>
      <c r="H124" s="45">
        <f>IF(F124="","",F124+$I$3)</f>
        <v/>
      </c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0" t="inlineStr">
        <is>
          <t>Rolled</t>
        </is>
      </c>
      <c r="B125" s="47" t="inlineStr"/>
      <c r="C125" s="18" t="n">
        <v>10</v>
      </c>
      <c r="D125" s="18" t="n">
        <v>63</v>
      </c>
      <c r="E125" s="48" t="inlineStr">
        <is>
          <t>10x63</t>
        </is>
      </c>
      <c r="F125" s="49" t="n"/>
      <c r="G125" s="49">
        <f>$I$3</f>
        <v/>
      </c>
      <c r="H125" s="50">
        <f>IF(F125="","",F125+$I$3)</f>
        <v/>
      </c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16" t="inlineStr">
        <is>
          <t>Rolled</t>
        </is>
      </c>
      <c r="B126" s="42" t="inlineStr"/>
      <c r="C126" s="14" t="n">
        <v>10</v>
      </c>
      <c r="D126" s="14" t="n">
        <v>75</v>
      </c>
      <c r="E126" s="43" t="inlineStr">
        <is>
          <t>10x75</t>
        </is>
      </c>
      <c r="F126" s="44" t="n"/>
      <c r="G126" s="44">
        <f>$I$3</f>
        <v/>
      </c>
      <c r="H126" s="45">
        <f>IF(F126="","",F126+$I$3)</f>
        <v/>
      </c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0" t="inlineStr">
        <is>
          <t>Rolled</t>
        </is>
      </c>
      <c r="B127" s="47" t="inlineStr"/>
      <c r="C127" s="18" t="n">
        <v>10</v>
      </c>
      <c r="D127" s="18" t="n">
        <v>100</v>
      </c>
      <c r="E127" s="48" t="inlineStr">
        <is>
          <t>10x100</t>
        </is>
      </c>
      <c r="F127" s="49" t="n"/>
      <c r="G127" s="49">
        <f>$I$3</f>
        <v/>
      </c>
      <c r="H127" s="50">
        <f>IF(F127="","",F127+$I$3)</f>
        <v/>
      </c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16" t="inlineStr">
        <is>
          <t>Rolled</t>
        </is>
      </c>
      <c r="B128" s="42" t="inlineStr"/>
      <c r="C128" s="14" t="n">
        <v>10</v>
      </c>
      <c r="D128" s="14" t="n">
        <v>125</v>
      </c>
      <c r="E128" s="43" t="inlineStr">
        <is>
          <t>10x125</t>
        </is>
      </c>
      <c r="F128" s="44" t="n"/>
      <c r="G128" s="44">
        <f>$I$3</f>
        <v/>
      </c>
      <c r="H128" s="45">
        <f>IF(F128="","",F128+$I$3)</f>
        <v/>
      </c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0" t="inlineStr">
        <is>
          <t>Rolled</t>
        </is>
      </c>
      <c r="B129" s="47" t="inlineStr"/>
      <c r="C129" s="18" t="n">
        <v>12</v>
      </c>
      <c r="D129" s="18" t="n">
        <v>16</v>
      </c>
      <c r="E129" s="48" t="inlineStr">
        <is>
          <t>12x16</t>
        </is>
      </c>
      <c r="F129" s="49" t="n"/>
      <c r="G129" s="49">
        <f>$I$3</f>
        <v/>
      </c>
      <c r="H129" s="50">
        <f>IF(F129="","",F129+$I$3)</f>
        <v/>
      </c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16" t="inlineStr">
        <is>
          <t>Rolled</t>
        </is>
      </c>
      <c r="B130" s="42" t="inlineStr"/>
      <c r="C130" s="14" t="n">
        <v>12</v>
      </c>
      <c r="D130" s="14" t="n">
        <v>20</v>
      </c>
      <c r="E130" s="43" t="inlineStr">
        <is>
          <t>12x20</t>
        </is>
      </c>
      <c r="F130" s="44" t="n"/>
      <c r="G130" s="44">
        <f>$I$3</f>
        <v/>
      </c>
      <c r="H130" s="45">
        <f>IF(F130="","",F130+$I$3)</f>
        <v/>
      </c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0" t="inlineStr">
        <is>
          <t>Rolled</t>
        </is>
      </c>
      <c r="B131" s="47" t="inlineStr"/>
      <c r="C131" s="18" t="n">
        <v>12</v>
      </c>
      <c r="D131" s="18" t="n">
        <v>25</v>
      </c>
      <c r="E131" s="48" t="inlineStr">
        <is>
          <t>12x25</t>
        </is>
      </c>
      <c r="F131" s="49" t="n"/>
      <c r="G131" s="49">
        <f>$I$3</f>
        <v/>
      </c>
      <c r="H131" s="50">
        <f>IF(F131="","",F131+$I$3)</f>
        <v/>
      </c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16" t="inlineStr">
        <is>
          <t>Rolled</t>
        </is>
      </c>
      <c r="B132" s="42" t="inlineStr"/>
      <c r="C132" s="14" t="n">
        <v>12</v>
      </c>
      <c r="D132" s="14" t="n">
        <v>32</v>
      </c>
      <c r="E132" s="43" t="inlineStr">
        <is>
          <t>12x32</t>
        </is>
      </c>
      <c r="F132" s="44" t="n"/>
      <c r="G132" s="44">
        <f>$I$3</f>
        <v/>
      </c>
      <c r="H132" s="45">
        <f>IF(F132="","",F132+$I$3)</f>
        <v/>
      </c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0" t="inlineStr">
        <is>
          <t>Rolled</t>
        </is>
      </c>
      <c r="B133" s="47" t="inlineStr"/>
      <c r="C133" s="18" t="n">
        <v>12</v>
      </c>
      <c r="D133" s="18" t="n">
        <v>40</v>
      </c>
      <c r="E133" s="48" t="inlineStr">
        <is>
          <t>12x40</t>
        </is>
      </c>
      <c r="F133" s="49" t="n"/>
      <c r="G133" s="49">
        <f>$I$3</f>
        <v/>
      </c>
      <c r="H133" s="50">
        <f>IF(F133="","",F133+$I$3)</f>
        <v/>
      </c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16" t="inlineStr">
        <is>
          <t>Rolled</t>
        </is>
      </c>
      <c r="B134" s="42" t="inlineStr"/>
      <c r="C134" s="14" t="n">
        <v>12</v>
      </c>
      <c r="D134" s="14" t="n">
        <v>50</v>
      </c>
      <c r="E134" s="43" t="inlineStr">
        <is>
          <t>12x50</t>
        </is>
      </c>
      <c r="F134" s="44" t="n"/>
      <c r="G134" s="44">
        <f>$I$3</f>
        <v/>
      </c>
      <c r="H134" s="45">
        <f>IF(F134="","",F134+$I$3)</f>
        <v/>
      </c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0" t="inlineStr">
        <is>
          <t>Rolled</t>
        </is>
      </c>
      <c r="B135" s="47" t="inlineStr"/>
      <c r="C135" s="18" t="n">
        <v>12</v>
      </c>
      <c r="D135" s="18" t="n">
        <v>63</v>
      </c>
      <c r="E135" s="48" t="inlineStr">
        <is>
          <t>12x63</t>
        </is>
      </c>
      <c r="F135" s="49" t="n"/>
      <c r="G135" s="49">
        <f>$I$3</f>
        <v/>
      </c>
      <c r="H135" s="50">
        <f>IF(F135="","",F135+$I$3)</f>
        <v/>
      </c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16" t="inlineStr">
        <is>
          <t>Rolled</t>
        </is>
      </c>
      <c r="B136" s="42" t="inlineStr"/>
      <c r="C136" s="14" t="n">
        <v>12</v>
      </c>
      <c r="D136" s="14" t="n">
        <v>75</v>
      </c>
      <c r="E136" s="43" t="inlineStr">
        <is>
          <t>12x75</t>
        </is>
      </c>
      <c r="F136" s="44" t="n"/>
      <c r="G136" s="44">
        <f>$I$3</f>
        <v/>
      </c>
      <c r="H136" s="45">
        <f>IF(F136="","",F136+$I$3)</f>
        <v/>
      </c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0" t="inlineStr">
        <is>
          <t>Rolled</t>
        </is>
      </c>
      <c r="B137" s="47" t="inlineStr"/>
      <c r="C137" s="18" t="n">
        <v>12</v>
      </c>
      <c r="D137" s="18" t="n">
        <v>100</v>
      </c>
      <c r="E137" s="48" t="inlineStr">
        <is>
          <t>12x100</t>
        </is>
      </c>
      <c r="F137" s="49" t="n"/>
      <c r="G137" s="49">
        <f>$I$3</f>
        <v/>
      </c>
      <c r="H137" s="50">
        <f>IF(F137="","",F137+$I$3)</f>
        <v/>
      </c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16" t="inlineStr">
        <is>
          <t>Rolled</t>
        </is>
      </c>
      <c r="B138" s="42" t="inlineStr"/>
      <c r="C138" s="14" t="n">
        <v>12</v>
      </c>
      <c r="D138" s="14" t="n">
        <v>125</v>
      </c>
      <c r="E138" s="43" t="inlineStr">
        <is>
          <t>12x125</t>
        </is>
      </c>
      <c r="F138" s="44" t="n"/>
      <c r="G138" s="44">
        <f>$I$3</f>
        <v/>
      </c>
      <c r="H138" s="45">
        <f>IF(F138="","",F138+$I$3)</f>
        <v/>
      </c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0" t="inlineStr">
        <is>
          <t>Rolled</t>
        </is>
      </c>
      <c r="B139" s="47" t="inlineStr"/>
      <c r="C139" s="18" t="n">
        <v>16</v>
      </c>
      <c r="D139" s="18" t="n">
        <v>20</v>
      </c>
      <c r="E139" s="48" t="inlineStr">
        <is>
          <t>16x20</t>
        </is>
      </c>
      <c r="F139" s="49" t="n"/>
      <c r="G139" s="49">
        <f>$I$3</f>
        <v/>
      </c>
      <c r="H139" s="50">
        <f>IF(F139="","",F139+$I$3)</f>
        <v/>
      </c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16" t="inlineStr">
        <is>
          <t>Rolled</t>
        </is>
      </c>
      <c r="B140" s="42" t="inlineStr"/>
      <c r="C140" s="14" t="n">
        <v>16</v>
      </c>
      <c r="D140" s="14" t="n">
        <v>25</v>
      </c>
      <c r="E140" s="43" t="inlineStr">
        <is>
          <t>16x25</t>
        </is>
      </c>
      <c r="F140" s="44" t="n"/>
      <c r="G140" s="44">
        <f>$I$3</f>
        <v/>
      </c>
      <c r="H140" s="45">
        <f>IF(F140="","",F140+$I$3)</f>
        <v/>
      </c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0" t="inlineStr">
        <is>
          <t>Rolled</t>
        </is>
      </c>
      <c r="B141" s="47" t="inlineStr"/>
      <c r="C141" s="18" t="n">
        <v>16</v>
      </c>
      <c r="D141" s="18" t="n">
        <v>32</v>
      </c>
      <c r="E141" s="48" t="inlineStr">
        <is>
          <t>16x32</t>
        </is>
      </c>
      <c r="F141" s="49" t="n"/>
      <c r="G141" s="49">
        <f>$I$3</f>
        <v/>
      </c>
      <c r="H141" s="50">
        <f>IF(F141="","",F141+$I$3)</f>
        <v/>
      </c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16" t="inlineStr">
        <is>
          <t>Rolled</t>
        </is>
      </c>
      <c r="B142" s="42" t="inlineStr"/>
      <c r="C142" s="14" t="n">
        <v>16</v>
      </c>
      <c r="D142" s="14" t="n">
        <v>40</v>
      </c>
      <c r="E142" s="43" t="inlineStr">
        <is>
          <t>16x40</t>
        </is>
      </c>
      <c r="F142" s="44" t="n"/>
      <c r="G142" s="44">
        <f>$I$3</f>
        <v/>
      </c>
      <c r="H142" s="45">
        <f>IF(F142="","",F142+$I$3)</f>
        <v/>
      </c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0" t="inlineStr">
        <is>
          <t>Rolled</t>
        </is>
      </c>
      <c r="B143" s="47" t="inlineStr"/>
      <c r="C143" s="18" t="n">
        <v>16</v>
      </c>
      <c r="D143" s="18" t="n">
        <v>50</v>
      </c>
      <c r="E143" s="48" t="inlineStr">
        <is>
          <t>16x50</t>
        </is>
      </c>
      <c r="F143" s="49" t="n"/>
      <c r="G143" s="49">
        <f>$I$3</f>
        <v/>
      </c>
      <c r="H143" s="50">
        <f>IF(F143="","",F143+$I$3)</f>
        <v/>
      </c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16" t="inlineStr">
        <is>
          <t>Rolled</t>
        </is>
      </c>
      <c r="B144" s="42" t="inlineStr"/>
      <c r="C144" s="14" t="n">
        <v>16</v>
      </c>
      <c r="D144" s="14" t="n">
        <v>63</v>
      </c>
      <c r="E144" s="43" t="inlineStr">
        <is>
          <t>16x63</t>
        </is>
      </c>
      <c r="F144" s="44" t="n"/>
      <c r="G144" s="44">
        <f>$I$3</f>
        <v/>
      </c>
      <c r="H144" s="45">
        <f>IF(F144="","",F144+$I$3)</f>
        <v/>
      </c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0" t="inlineStr">
        <is>
          <t>Rolled</t>
        </is>
      </c>
      <c r="B145" s="47" t="inlineStr"/>
      <c r="C145" s="18" t="n">
        <v>16</v>
      </c>
      <c r="D145" s="18" t="n">
        <v>75</v>
      </c>
      <c r="E145" s="48" t="inlineStr">
        <is>
          <t>16x75</t>
        </is>
      </c>
      <c r="F145" s="49" t="n"/>
      <c r="G145" s="49">
        <f>$I$3</f>
        <v/>
      </c>
      <c r="H145" s="50">
        <f>IF(F145="","",F145+$I$3)</f>
        <v/>
      </c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16" t="inlineStr">
        <is>
          <t>Rolled</t>
        </is>
      </c>
      <c r="B146" s="42" t="inlineStr"/>
      <c r="C146" s="14" t="n">
        <v>16</v>
      </c>
      <c r="D146" s="14" t="n">
        <v>100</v>
      </c>
      <c r="E146" s="43" t="inlineStr">
        <is>
          <t>16x100</t>
        </is>
      </c>
      <c r="F146" s="44" t="n"/>
      <c r="G146" s="44">
        <f>$I$3</f>
        <v/>
      </c>
      <c r="H146" s="45">
        <f>IF(F146="","",F146+$I$3)</f>
        <v/>
      </c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0" t="inlineStr">
        <is>
          <t>Rolled</t>
        </is>
      </c>
      <c r="B147" s="47" t="inlineStr"/>
      <c r="C147" s="18" t="n">
        <v>16</v>
      </c>
      <c r="D147" s="18" t="n">
        <v>125</v>
      </c>
      <c r="E147" s="48" t="inlineStr">
        <is>
          <t>16x125</t>
        </is>
      </c>
      <c r="F147" s="49" t="n"/>
      <c r="G147" s="49">
        <f>$I$3</f>
        <v/>
      </c>
      <c r="H147" s="50">
        <f>IF(F147="","",F147+$I$3)</f>
        <v/>
      </c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16" t="inlineStr">
        <is>
          <t>Rolled</t>
        </is>
      </c>
      <c r="B148" s="42" t="inlineStr"/>
      <c r="C148" s="14" t="n">
        <v>20</v>
      </c>
      <c r="D148" s="14" t="n">
        <v>25</v>
      </c>
      <c r="E148" s="43" t="inlineStr">
        <is>
          <t>20x25</t>
        </is>
      </c>
      <c r="F148" s="44" t="n"/>
      <c r="G148" s="44">
        <f>$I$3</f>
        <v/>
      </c>
      <c r="H148" s="45">
        <f>IF(F148="","",F148+$I$3)</f>
        <v/>
      </c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0" t="inlineStr">
        <is>
          <t>Rolled</t>
        </is>
      </c>
      <c r="B149" s="47" t="inlineStr"/>
      <c r="C149" s="18" t="n">
        <v>20</v>
      </c>
      <c r="D149" s="18" t="n">
        <v>30</v>
      </c>
      <c r="E149" s="48" t="inlineStr">
        <is>
          <t>20x30</t>
        </is>
      </c>
      <c r="F149" s="49" t="n"/>
      <c r="G149" s="49">
        <f>$I$3</f>
        <v/>
      </c>
      <c r="H149" s="50">
        <f>IF(F149="","",F149+$I$3)</f>
        <v/>
      </c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16" t="inlineStr">
        <is>
          <t>Rolled</t>
        </is>
      </c>
      <c r="B150" s="42" t="inlineStr"/>
      <c r="C150" s="14" t="n">
        <v>20</v>
      </c>
      <c r="D150" s="14" t="n">
        <v>32</v>
      </c>
      <c r="E150" s="43" t="inlineStr">
        <is>
          <t>20x32</t>
        </is>
      </c>
      <c r="F150" s="44" t="n"/>
      <c r="G150" s="44">
        <f>$I$3</f>
        <v/>
      </c>
      <c r="H150" s="45">
        <f>IF(F150="","",F150+$I$3)</f>
        <v/>
      </c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0" t="inlineStr">
        <is>
          <t>Rolled</t>
        </is>
      </c>
      <c r="B151" s="47" t="inlineStr"/>
      <c r="C151" s="18" t="n">
        <v>20</v>
      </c>
      <c r="D151" s="18" t="n">
        <v>40</v>
      </c>
      <c r="E151" s="48" t="inlineStr">
        <is>
          <t>20x40</t>
        </is>
      </c>
      <c r="F151" s="49" t="n"/>
      <c r="G151" s="49">
        <f>$I$3</f>
        <v/>
      </c>
      <c r="H151" s="50">
        <f>IF(F151="","",F151+$I$3)</f>
        <v/>
      </c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16" t="inlineStr">
        <is>
          <t>Rolled</t>
        </is>
      </c>
      <c r="B152" s="42" t="inlineStr"/>
      <c r="C152" s="14" t="n">
        <v>20</v>
      </c>
      <c r="D152" s="14" t="n">
        <v>50</v>
      </c>
      <c r="E152" s="43" t="inlineStr">
        <is>
          <t>20x50</t>
        </is>
      </c>
      <c r="F152" s="44" t="n"/>
      <c r="G152" s="44">
        <f>$I$3</f>
        <v/>
      </c>
      <c r="H152" s="45">
        <f>IF(F152="","",F152+$I$3)</f>
        <v/>
      </c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0" t="inlineStr">
        <is>
          <t>Rolled</t>
        </is>
      </c>
      <c r="B153" s="47" t="inlineStr"/>
      <c r="C153" s="18" t="n">
        <v>20</v>
      </c>
      <c r="D153" s="18" t="n">
        <v>60</v>
      </c>
      <c r="E153" s="48" t="inlineStr">
        <is>
          <t>20x60</t>
        </is>
      </c>
      <c r="F153" s="49" t="n"/>
      <c r="G153" s="49">
        <f>$I$3</f>
        <v/>
      </c>
      <c r="H153" s="50">
        <f>IF(F153="","",F153+$I$3)</f>
        <v/>
      </c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16" t="inlineStr">
        <is>
          <t>Rolled</t>
        </is>
      </c>
      <c r="B154" s="42" t="inlineStr"/>
      <c r="C154" s="14" t="n">
        <v>20</v>
      </c>
      <c r="D154" s="14" t="n">
        <v>63</v>
      </c>
      <c r="E154" s="43" t="inlineStr">
        <is>
          <t>20x63</t>
        </is>
      </c>
      <c r="F154" s="44" t="n"/>
      <c r="G154" s="44">
        <f>$I$3</f>
        <v/>
      </c>
      <c r="H154" s="45">
        <f>IF(F154="","",F154+$I$3)</f>
        <v/>
      </c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0" t="inlineStr">
        <is>
          <t>Rolled</t>
        </is>
      </c>
      <c r="B155" s="47" t="inlineStr"/>
      <c r="C155" s="18" t="n">
        <v>20</v>
      </c>
      <c r="D155" s="18" t="n">
        <v>75</v>
      </c>
      <c r="E155" s="48" t="inlineStr">
        <is>
          <t>20x75</t>
        </is>
      </c>
      <c r="F155" s="49" t="n"/>
      <c r="G155" s="49">
        <f>$I$3</f>
        <v/>
      </c>
      <c r="H155" s="50">
        <f>IF(F155="","",F155+$I$3)</f>
        <v/>
      </c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16" t="inlineStr">
        <is>
          <t>Rolled</t>
        </is>
      </c>
      <c r="B156" s="42" t="inlineStr"/>
      <c r="C156" s="14" t="n">
        <v>20</v>
      </c>
      <c r="D156" s="14" t="n">
        <v>100</v>
      </c>
      <c r="E156" s="43" t="inlineStr">
        <is>
          <t>20x100</t>
        </is>
      </c>
      <c r="F156" s="44" t="n"/>
      <c r="G156" s="44">
        <f>$I$3</f>
        <v/>
      </c>
      <c r="H156" s="45">
        <f>IF(F156="","",F156+$I$3)</f>
        <v/>
      </c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0" t="inlineStr">
        <is>
          <t>Rolled</t>
        </is>
      </c>
      <c r="B157" s="47" t="inlineStr"/>
      <c r="C157" s="18" t="n">
        <v>20</v>
      </c>
      <c r="D157" s="18" t="n">
        <v>125</v>
      </c>
      <c r="E157" s="48" t="inlineStr">
        <is>
          <t>20x125</t>
        </is>
      </c>
      <c r="F157" s="49" t="n"/>
      <c r="G157" s="49">
        <f>$I$3</f>
        <v/>
      </c>
      <c r="H157" s="50">
        <f>IF(F157="","",F157+$I$3)</f>
        <v/>
      </c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16" t="inlineStr">
        <is>
          <t>Rolled</t>
        </is>
      </c>
      <c r="B158" s="42" t="inlineStr"/>
      <c r="C158" s="14" t="n">
        <v>25</v>
      </c>
      <c r="D158" s="14" t="n">
        <v>32</v>
      </c>
      <c r="E158" s="43" t="inlineStr">
        <is>
          <t>25x32</t>
        </is>
      </c>
      <c r="F158" s="44" t="n"/>
      <c r="G158" s="44">
        <f>$I$3</f>
        <v/>
      </c>
      <c r="H158" s="45">
        <f>IF(F158="","",F158+$I$3)</f>
        <v/>
      </c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0" t="inlineStr">
        <is>
          <t>Rolled</t>
        </is>
      </c>
      <c r="B159" s="47" t="inlineStr"/>
      <c r="C159" s="18" t="n">
        <v>25</v>
      </c>
      <c r="D159" s="18" t="n">
        <v>40</v>
      </c>
      <c r="E159" s="48" t="inlineStr">
        <is>
          <t>25x40</t>
        </is>
      </c>
      <c r="F159" s="49" t="n"/>
      <c r="G159" s="49">
        <f>$I$3</f>
        <v/>
      </c>
      <c r="H159" s="50">
        <f>IF(F159="","",F159+$I$3)</f>
        <v/>
      </c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16" t="inlineStr">
        <is>
          <t>Rolled</t>
        </is>
      </c>
      <c r="B160" s="42" t="inlineStr"/>
      <c r="C160" s="14" t="n">
        <v>25</v>
      </c>
      <c r="D160" s="14" t="n">
        <v>50</v>
      </c>
      <c r="E160" s="43" t="inlineStr">
        <is>
          <t>25x50</t>
        </is>
      </c>
      <c r="F160" s="44" t="n"/>
      <c r="G160" s="44">
        <f>$I$3</f>
        <v/>
      </c>
      <c r="H160" s="45">
        <f>IF(F160="","",F160+$I$3)</f>
        <v/>
      </c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0" t="inlineStr">
        <is>
          <t>Rolled</t>
        </is>
      </c>
      <c r="B161" s="47" t="inlineStr"/>
      <c r="C161" s="18" t="n">
        <v>25</v>
      </c>
      <c r="D161" s="18" t="n">
        <v>63</v>
      </c>
      <c r="E161" s="48" t="inlineStr">
        <is>
          <t>25x63</t>
        </is>
      </c>
      <c r="F161" s="49" t="n"/>
      <c r="G161" s="49">
        <f>$I$3</f>
        <v/>
      </c>
      <c r="H161" s="50">
        <f>IF(F161="","",F161+$I$3)</f>
        <v/>
      </c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16" t="inlineStr">
        <is>
          <t>Rolled</t>
        </is>
      </c>
      <c r="B162" s="42" t="inlineStr"/>
      <c r="C162" s="14" t="n">
        <v>25</v>
      </c>
      <c r="D162" s="14" t="n">
        <v>75</v>
      </c>
      <c r="E162" s="43" t="inlineStr">
        <is>
          <t>25x75</t>
        </is>
      </c>
      <c r="F162" s="44" t="n"/>
      <c r="G162" s="44">
        <f>$I$3</f>
        <v/>
      </c>
      <c r="H162" s="45">
        <f>IF(F162="","",F162+$I$3)</f>
        <v/>
      </c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0" t="inlineStr">
        <is>
          <t>Rolled</t>
        </is>
      </c>
      <c r="B163" s="47" t="inlineStr"/>
      <c r="C163" s="18" t="n">
        <v>25</v>
      </c>
      <c r="D163" s="18" t="n">
        <v>100</v>
      </c>
      <c r="E163" s="48" t="inlineStr">
        <is>
          <t>25x100</t>
        </is>
      </c>
      <c r="F163" s="49" t="n"/>
      <c r="G163" s="49">
        <f>$I$3</f>
        <v/>
      </c>
      <c r="H163" s="50">
        <f>IF(F163="","",F163+$I$3)</f>
        <v/>
      </c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16" t="inlineStr">
        <is>
          <t>Rolled</t>
        </is>
      </c>
      <c r="B164" s="42" t="inlineStr"/>
      <c r="C164" s="14" t="n">
        <v>25</v>
      </c>
      <c r="D164" s="14" t="n">
        <v>125</v>
      </c>
      <c r="E164" s="43" t="inlineStr">
        <is>
          <t>25x125</t>
        </is>
      </c>
      <c r="F164" s="44" t="n"/>
      <c r="G164" s="44">
        <f>$I$3</f>
        <v/>
      </c>
      <c r="H164" s="45">
        <f>IF(F164="","",F164+$I$3)</f>
        <v/>
      </c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0" t="inlineStr">
        <is>
          <t>Rolled</t>
        </is>
      </c>
      <c r="B165" s="47" t="inlineStr"/>
      <c r="C165" s="18" t="n">
        <v>32</v>
      </c>
      <c r="D165" s="18" t="n">
        <v>40</v>
      </c>
      <c r="E165" s="48" t="inlineStr">
        <is>
          <t>32x40</t>
        </is>
      </c>
      <c r="F165" s="49" t="n"/>
      <c r="G165" s="49">
        <f>$I$3</f>
        <v/>
      </c>
      <c r="H165" s="50">
        <f>IF(F165="","",F165+$I$3)</f>
        <v/>
      </c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16" t="inlineStr">
        <is>
          <t>Rolled</t>
        </is>
      </c>
      <c r="B166" s="42" t="inlineStr"/>
      <c r="C166" s="14" t="n">
        <v>32</v>
      </c>
      <c r="D166" s="14" t="n">
        <v>50</v>
      </c>
      <c r="E166" s="43" t="inlineStr">
        <is>
          <t>32x50</t>
        </is>
      </c>
      <c r="F166" s="44" t="n"/>
      <c r="G166" s="44">
        <f>$I$3</f>
        <v/>
      </c>
      <c r="H166" s="45">
        <f>IF(F166="","",F166+$I$3)</f>
        <v/>
      </c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0" t="inlineStr">
        <is>
          <t>Rolled</t>
        </is>
      </c>
      <c r="B167" s="47" t="inlineStr"/>
      <c r="C167" s="18" t="n">
        <v>32</v>
      </c>
      <c r="D167" s="18" t="n">
        <v>65</v>
      </c>
      <c r="E167" s="48" t="inlineStr">
        <is>
          <t>32x65</t>
        </is>
      </c>
      <c r="F167" s="49" t="n"/>
      <c r="G167" s="49">
        <f>$I$3</f>
        <v/>
      </c>
      <c r="H167" s="50">
        <f>IF(F167="","",F167+$I$3)</f>
        <v/>
      </c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16" t="inlineStr">
        <is>
          <t>Rolled</t>
        </is>
      </c>
      <c r="B168" s="42" t="inlineStr"/>
      <c r="C168" s="14" t="n">
        <v>32</v>
      </c>
      <c r="D168" s="14" t="n">
        <v>75</v>
      </c>
      <c r="E168" s="43" t="inlineStr">
        <is>
          <t>32x75</t>
        </is>
      </c>
      <c r="F168" s="44" t="n"/>
      <c r="G168" s="44">
        <f>$I$3</f>
        <v/>
      </c>
      <c r="H168" s="45">
        <f>IF(F168="","",F168+$I$3)</f>
        <v/>
      </c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0" t="inlineStr">
        <is>
          <t>Rolled</t>
        </is>
      </c>
      <c r="B169" s="47" t="inlineStr"/>
      <c r="C169" s="18" t="n">
        <v>32</v>
      </c>
      <c r="D169" s="18" t="n">
        <v>100</v>
      </c>
      <c r="E169" s="48" t="inlineStr">
        <is>
          <t>32x100</t>
        </is>
      </c>
      <c r="F169" s="49" t="n"/>
      <c r="G169" s="49">
        <f>$I$3</f>
        <v/>
      </c>
      <c r="H169" s="50">
        <f>IF(F169="","",F169+$I$3)</f>
        <v/>
      </c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16" t="inlineStr"/>
      <c r="B170" s="42" t="inlineStr"/>
      <c r="C170" s="14">
        <f>IF($M$2&lt;&gt;"Flat Bar","",LET(k,IFERROR(INDEX(LET(cat,$E$94:$E$169,box,VSTACK($P$2,$L$7:$L$26),live,UNIQUE(FILTER(VSTACK(cat,box),VSTACK(cat,box)&lt;&gt;"")),FILTER(live,COUNTIF(cat,live)=0)),1),""),t,SUBSTITUTE(SUBSTITUTE(TRIM(k&amp;"")," ",""),"×","x"),IF(OR(k="",ISNUMBER(k)),"",IFERROR(VALUE(LEFT(t,FIND("x",t)-1)),""))))</f>
        <v/>
      </c>
      <c r="D170" s="14">
        <f>IF($M$2&lt;&gt;"Flat Bar","",LET(k,IFERROR(INDEX(LET(cat,$E$94:$E$169,box,VSTACK($P$2,$L$7:$L$26),live,UNIQUE(FILTER(VSTACK(cat,box),VSTACK(cat,box)&lt;&gt;"")),FILTER(live,COUNTIF(cat,live)=0)),1),""),t,SUBSTITUTE(SUBSTITUTE(TRIM(k&amp;"")," ",""),"×","x"),IF(OR(k="",ISNUMBER(k)),"",IFERROR(VALUE(MID(t,FIND("x",t)+1,32)),""))))</f>
        <v/>
      </c>
      <c r="E170" s="43">
        <f>IF($M$2&lt;&gt;"Flat Bar","",IFERROR(INDEX(LET(cat,$E$94:$E$169,box,VSTACK($P$2,$L$7:$L$26),live,UNIQUE(FILTER(VSTACK(cat,box),VSTACK(cat,box)&lt;&gt;"")),FILTER(live,COUNTIF(cat,live)=0)),1),""))</f>
        <v/>
      </c>
      <c r="F170" s="44" t="n"/>
      <c r="G170" s="44">
        <f>$I$3</f>
        <v/>
      </c>
      <c r="H170" s="45">
        <f>IF(F170="","",F170+$I$3)</f>
        <v/>
      </c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0" t="inlineStr"/>
      <c r="B171" s="47" t="inlineStr"/>
      <c r="C171" s="18">
        <f>IF($M$2&lt;&gt;"Flat Bar","",LET(k,IFERROR(INDEX(LET(cat,$E$94:$E$169,box,VSTACK($P$2,$L$7:$L$26),live,UNIQUE(FILTER(VSTACK(cat,box),VSTACK(cat,box)&lt;&gt;"")),FILTER(live,COUNTIF(cat,live)=0)),2),""),t,SUBSTITUTE(SUBSTITUTE(TRIM(k&amp;"")," ",""),"×","x"),IF(OR(k="",ISNUMBER(k)),"",IFERROR(VALUE(LEFT(t,FIND("x",t)-1)),""))))</f>
        <v/>
      </c>
      <c r="D171" s="18">
        <f>IF($M$2&lt;&gt;"Flat Bar","",LET(k,IFERROR(INDEX(LET(cat,$E$94:$E$169,box,VSTACK($P$2,$L$7:$L$26),live,UNIQUE(FILTER(VSTACK(cat,box),VSTACK(cat,box)&lt;&gt;"")),FILTER(live,COUNTIF(cat,live)=0)),2),""),t,SUBSTITUTE(SUBSTITUTE(TRIM(k&amp;"")," ",""),"×","x"),IF(OR(k="",ISNUMBER(k)),"",IFERROR(VALUE(MID(t,FIND("x",t)+1,32)),""))))</f>
        <v/>
      </c>
      <c r="E171" s="48">
        <f>IF($M$2&lt;&gt;"Flat Bar","",IFERROR(INDEX(LET(cat,$E$94:$E$169,box,VSTACK($P$2,$L$7:$L$26),live,UNIQUE(FILTER(VSTACK(cat,box),VSTACK(cat,box)&lt;&gt;"")),FILTER(live,COUNTIF(cat,live)=0)),2),""))</f>
        <v/>
      </c>
      <c r="F171" s="49" t="n"/>
      <c r="G171" s="49">
        <f>$I$3</f>
        <v/>
      </c>
      <c r="H171" s="50">
        <f>IF(F171="","",F171+$I$3)</f>
        <v/>
      </c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16" t="inlineStr"/>
      <c r="B172" s="42" t="inlineStr"/>
      <c r="C172" s="14">
        <f>IF($M$2&lt;&gt;"Flat Bar","",LET(k,IFERROR(INDEX(LET(cat,$E$94:$E$169,box,VSTACK($P$2,$L$7:$L$26),live,UNIQUE(FILTER(VSTACK(cat,box),VSTACK(cat,box)&lt;&gt;"")),FILTER(live,COUNTIF(cat,live)=0)),3),""),t,SUBSTITUTE(SUBSTITUTE(TRIM(k&amp;"")," ",""),"×","x"),IF(OR(k="",ISNUMBER(k)),"",IFERROR(VALUE(LEFT(t,FIND("x",t)-1)),""))))</f>
        <v/>
      </c>
      <c r="D172" s="14">
        <f>IF($M$2&lt;&gt;"Flat Bar","",LET(k,IFERROR(INDEX(LET(cat,$E$94:$E$169,box,VSTACK($P$2,$L$7:$L$26),live,UNIQUE(FILTER(VSTACK(cat,box),VSTACK(cat,box)&lt;&gt;"")),FILTER(live,COUNTIF(cat,live)=0)),3),""),t,SUBSTITUTE(SUBSTITUTE(TRIM(k&amp;"")," ",""),"×","x"),IF(OR(k="",ISNUMBER(k)),"",IFERROR(VALUE(MID(t,FIND("x",t)+1,32)),""))))</f>
        <v/>
      </c>
      <c r="E172" s="43">
        <f>IF($M$2&lt;&gt;"Flat Bar","",IFERROR(INDEX(LET(cat,$E$94:$E$169,box,VSTACK($P$2,$L$7:$L$26),live,UNIQUE(FILTER(VSTACK(cat,box),VSTACK(cat,box)&lt;&gt;"")),FILTER(live,COUNTIF(cat,live)=0)),3),""))</f>
        <v/>
      </c>
      <c r="F172" s="44" t="n"/>
      <c r="G172" s="44">
        <f>$I$3</f>
        <v/>
      </c>
      <c r="H172" s="45">
        <f>IF(F172="","",F172+$I$3)</f>
        <v/>
      </c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0" t="inlineStr"/>
      <c r="B173" s="47" t="inlineStr"/>
      <c r="C173" s="18">
        <f>IF($M$2&lt;&gt;"Flat Bar","",LET(k,IFERROR(INDEX(LET(cat,$E$94:$E$169,box,VSTACK($P$2,$L$7:$L$26),live,UNIQUE(FILTER(VSTACK(cat,box),VSTACK(cat,box)&lt;&gt;"")),FILTER(live,COUNTIF(cat,live)=0)),4),""),t,SUBSTITUTE(SUBSTITUTE(TRIM(k&amp;"")," ",""),"×","x"),IF(OR(k="",ISNUMBER(k)),"",IFERROR(VALUE(LEFT(t,FIND("x",t)-1)),""))))</f>
        <v/>
      </c>
      <c r="D173" s="18">
        <f>IF($M$2&lt;&gt;"Flat Bar","",LET(k,IFERROR(INDEX(LET(cat,$E$94:$E$169,box,VSTACK($P$2,$L$7:$L$26),live,UNIQUE(FILTER(VSTACK(cat,box),VSTACK(cat,box)&lt;&gt;"")),FILTER(live,COUNTIF(cat,live)=0)),4),""),t,SUBSTITUTE(SUBSTITUTE(TRIM(k&amp;"")," ",""),"×","x"),IF(OR(k="",ISNUMBER(k)),"",IFERROR(VALUE(MID(t,FIND("x",t)+1,32)),""))))</f>
        <v/>
      </c>
      <c r="E173" s="48">
        <f>IF($M$2&lt;&gt;"Flat Bar","",IFERROR(INDEX(LET(cat,$E$94:$E$169,box,VSTACK($P$2,$L$7:$L$26),live,UNIQUE(FILTER(VSTACK(cat,box),VSTACK(cat,box)&lt;&gt;"")),FILTER(live,COUNTIF(cat,live)=0)),4),""))</f>
        <v/>
      </c>
      <c r="F173" s="49" t="n"/>
      <c r="G173" s="49">
        <f>$I$3</f>
        <v/>
      </c>
      <c r="H173" s="50">
        <f>IF(F173="","",F173+$I$3)</f>
        <v/>
      </c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16" t="inlineStr"/>
      <c r="B174" s="42" t="inlineStr"/>
      <c r="C174" s="14">
        <f>IF($M$2&lt;&gt;"Flat Bar","",LET(k,IFERROR(INDEX(LET(cat,$E$94:$E$169,box,VSTACK($P$2,$L$7:$L$26),live,UNIQUE(FILTER(VSTACK(cat,box),VSTACK(cat,box)&lt;&gt;"")),FILTER(live,COUNTIF(cat,live)=0)),5),""),t,SUBSTITUTE(SUBSTITUTE(TRIM(k&amp;"")," ",""),"×","x"),IF(OR(k="",ISNUMBER(k)),"",IFERROR(VALUE(LEFT(t,FIND("x",t)-1)),""))))</f>
        <v/>
      </c>
      <c r="D174" s="14">
        <f>IF($M$2&lt;&gt;"Flat Bar","",LET(k,IFERROR(INDEX(LET(cat,$E$94:$E$169,box,VSTACK($P$2,$L$7:$L$26),live,UNIQUE(FILTER(VSTACK(cat,box),VSTACK(cat,box)&lt;&gt;"")),FILTER(live,COUNTIF(cat,live)=0)),5),""),t,SUBSTITUTE(SUBSTITUTE(TRIM(k&amp;"")," ",""),"×","x"),IF(OR(k="",ISNUMBER(k)),"",IFERROR(VALUE(MID(t,FIND("x",t)+1,32)),""))))</f>
        <v/>
      </c>
      <c r="E174" s="43">
        <f>IF($M$2&lt;&gt;"Flat Bar","",IFERROR(INDEX(LET(cat,$E$94:$E$169,box,VSTACK($P$2,$L$7:$L$26),live,UNIQUE(FILTER(VSTACK(cat,box),VSTACK(cat,box)&lt;&gt;"")),FILTER(live,COUNTIF(cat,live)=0)),5),""))</f>
        <v/>
      </c>
      <c r="F174" s="44" t="n"/>
      <c r="G174" s="44">
        <f>$I$3</f>
        <v/>
      </c>
      <c r="H174" s="45">
        <f>IF(F174="","",F174+$I$3)</f>
        <v/>
      </c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0" t="inlineStr"/>
      <c r="B175" s="47" t="inlineStr"/>
      <c r="C175" s="18">
        <f>IF($M$2&lt;&gt;"Flat Bar","",LET(k,IFERROR(INDEX(LET(cat,$E$94:$E$169,box,VSTACK($P$2,$L$7:$L$26),live,UNIQUE(FILTER(VSTACK(cat,box),VSTACK(cat,box)&lt;&gt;"")),FILTER(live,COUNTIF(cat,live)=0)),6),""),t,SUBSTITUTE(SUBSTITUTE(TRIM(k&amp;"")," ",""),"×","x"),IF(OR(k="",ISNUMBER(k)),"",IFERROR(VALUE(LEFT(t,FIND("x",t)-1)),""))))</f>
        <v/>
      </c>
      <c r="D175" s="18">
        <f>IF($M$2&lt;&gt;"Flat Bar","",LET(k,IFERROR(INDEX(LET(cat,$E$94:$E$169,box,VSTACK($P$2,$L$7:$L$26),live,UNIQUE(FILTER(VSTACK(cat,box),VSTACK(cat,box)&lt;&gt;"")),FILTER(live,COUNTIF(cat,live)=0)),6),""),t,SUBSTITUTE(SUBSTITUTE(TRIM(k&amp;"")," ",""),"×","x"),IF(OR(k="",ISNUMBER(k)),"",IFERROR(VALUE(MID(t,FIND("x",t)+1,32)),""))))</f>
        <v/>
      </c>
      <c r="E175" s="48">
        <f>IF($M$2&lt;&gt;"Flat Bar","",IFERROR(INDEX(LET(cat,$E$94:$E$169,box,VSTACK($P$2,$L$7:$L$26),live,UNIQUE(FILTER(VSTACK(cat,box),VSTACK(cat,box)&lt;&gt;"")),FILTER(live,COUNTIF(cat,live)=0)),6),""))</f>
        <v/>
      </c>
      <c r="F175" s="49" t="n"/>
      <c r="G175" s="49">
        <f>$I$3</f>
        <v/>
      </c>
      <c r="H175" s="50">
        <f>IF(F175="","",F175+$I$3)</f>
        <v/>
      </c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16" t="inlineStr"/>
      <c r="B176" s="42" t="inlineStr"/>
      <c r="C176" s="14">
        <f>IF($M$2&lt;&gt;"Flat Bar","",LET(k,IFERROR(INDEX(LET(cat,$E$94:$E$169,box,VSTACK($P$2,$L$7:$L$26),live,UNIQUE(FILTER(VSTACK(cat,box),VSTACK(cat,box)&lt;&gt;"")),FILTER(live,COUNTIF(cat,live)=0)),7),""),t,SUBSTITUTE(SUBSTITUTE(TRIM(k&amp;"")," ",""),"×","x"),IF(OR(k="",ISNUMBER(k)),"",IFERROR(VALUE(LEFT(t,FIND("x",t)-1)),""))))</f>
        <v/>
      </c>
      <c r="D176" s="14">
        <f>IF($M$2&lt;&gt;"Flat Bar","",LET(k,IFERROR(INDEX(LET(cat,$E$94:$E$169,box,VSTACK($P$2,$L$7:$L$26),live,UNIQUE(FILTER(VSTACK(cat,box),VSTACK(cat,box)&lt;&gt;"")),FILTER(live,COUNTIF(cat,live)=0)),7),""),t,SUBSTITUTE(SUBSTITUTE(TRIM(k&amp;"")," ",""),"×","x"),IF(OR(k="",ISNUMBER(k)),"",IFERROR(VALUE(MID(t,FIND("x",t)+1,32)),""))))</f>
        <v/>
      </c>
      <c r="E176" s="43">
        <f>IF($M$2&lt;&gt;"Flat Bar","",IFERROR(INDEX(LET(cat,$E$94:$E$169,box,VSTACK($P$2,$L$7:$L$26),live,UNIQUE(FILTER(VSTACK(cat,box),VSTACK(cat,box)&lt;&gt;"")),FILTER(live,COUNTIF(cat,live)=0)),7),""))</f>
        <v/>
      </c>
      <c r="F176" s="44" t="n"/>
      <c r="G176" s="44">
        <f>$I$3</f>
        <v/>
      </c>
      <c r="H176" s="45">
        <f>IF(F176="","",F176+$I$3)</f>
        <v/>
      </c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0" t="inlineStr"/>
      <c r="B177" s="47" t="inlineStr"/>
      <c r="C177" s="18">
        <f>IF($M$2&lt;&gt;"Flat Bar","",LET(k,IFERROR(INDEX(LET(cat,$E$94:$E$169,box,VSTACK($P$2,$L$7:$L$26),live,UNIQUE(FILTER(VSTACK(cat,box),VSTACK(cat,box)&lt;&gt;"")),FILTER(live,COUNTIF(cat,live)=0)),8),""),t,SUBSTITUTE(SUBSTITUTE(TRIM(k&amp;"")," ",""),"×","x"),IF(OR(k="",ISNUMBER(k)),"",IFERROR(VALUE(LEFT(t,FIND("x",t)-1)),""))))</f>
        <v/>
      </c>
      <c r="D177" s="18">
        <f>IF($M$2&lt;&gt;"Flat Bar","",LET(k,IFERROR(INDEX(LET(cat,$E$94:$E$169,box,VSTACK($P$2,$L$7:$L$26),live,UNIQUE(FILTER(VSTACK(cat,box),VSTACK(cat,box)&lt;&gt;"")),FILTER(live,COUNTIF(cat,live)=0)),8),""),t,SUBSTITUTE(SUBSTITUTE(TRIM(k&amp;"")," ",""),"×","x"),IF(OR(k="",ISNUMBER(k)),"",IFERROR(VALUE(MID(t,FIND("x",t)+1,32)),""))))</f>
        <v/>
      </c>
      <c r="E177" s="48">
        <f>IF($M$2&lt;&gt;"Flat Bar","",IFERROR(INDEX(LET(cat,$E$94:$E$169,box,VSTACK($P$2,$L$7:$L$26),live,UNIQUE(FILTER(VSTACK(cat,box),VSTACK(cat,box)&lt;&gt;"")),FILTER(live,COUNTIF(cat,live)=0)),8),""))</f>
        <v/>
      </c>
      <c r="F177" s="49" t="n"/>
      <c r="G177" s="49">
        <f>$I$3</f>
        <v/>
      </c>
      <c r="H177" s="50">
        <f>IF(F177="","",F177+$I$3)</f>
        <v/>
      </c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16" t="inlineStr"/>
      <c r="B178" s="42" t="inlineStr"/>
      <c r="C178" s="14">
        <f>IF($M$2&lt;&gt;"Flat Bar","",LET(k,IFERROR(INDEX(LET(cat,$E$94:$E$169,box,VSTACK($P$2,$L$7:$L$26),live,UNIQUE(FILTER(VSTACK(cat,box),VSTACK(cat,box)&lt;&gt;"")),FILTER(live,COUNTIF(cat,live)=0)),9),""),t,SUBSTITUTE(SUBSTITUTE(TRIM(k&amp;"")," ",""),"×","x"),IF(OR(k="",ISNUMBER(k)),"",IFERROR(VALUE(LEFT(t,FIND("x",t)-1)),""))))</f>
        <v/>
      </c>
      <c r="D178" s="14">
        <f>IF($M$2&lt;&gt;"Flat Bar","",LET(k,IFERROR(INDEX(LET(cat,$E$94:$E$169,box,VSTACK($P$2,$L$7:$L$26),live,UNIQUE(FILTER(VSTACK(cat,box),VSTACK(cat,box)&lt;&gt;"")),FILTER(live,COUNTIF(cat,live)=0)),9),""),t,SUBSTITUTE(SUBSTITUTE(TRIM(k&amp;"")," ",""),"×","x"),IF(OR(k="",ISNUMBER(k)),"",IFERROR(VALUE(MID(t,FIND("x",t)+1,32)),""))))</f>
        <v/>
      </c>
      <c r="E178" s="43">
        <f>IF($M$2&lt;&gt;"Flat Bar","",IFERROR(INDEX(LET(cat,$E$94:$E$169,box,VSTACK($P$2,$L$7:$L$26),live,UNIQUE(FILTER(VSTACK(cat,box),VSTACK(cat,box)&lt;&gt;"")),FILTER(live,COUNTIF(cat,live)=0)),9),""))</f>
        <v/>
      </c>
      <c r="F178" s="44" t="n"/>
      <c r="G178" s="44">
        <f>$I$3</f>
        <v/>
      </c>
      <c r="H178" s="45">
        <f>IF(F178="","",F178+$I$3)</f>
        <v/>
      </c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0" t="inlineStr"/>
      <c r="B179" s="47" t="inlineStr"/>
      <c r="C179" s="18">
        <f>IF($M$2&lt;&gt;"Flat Bar","",LET(k,IFERROR(INDEX(LET(cat,$E$94:$E$169,box,VSTACK($P$2,$L$7:$L$26),live,UNIQUE(FILTER(VSTACK(cat,box),VSTACK(cat,box)&lt;&gt;"")),FILTER(live,COUNTIF(cat,live)=0)),10),""),t,SUBSTITUTE(SUBSTITUTE(TRIM(k&amp;"")," ",""),"×","x"),IF(OR(k="",ISNUMBER(k)),"",IFERROR(VALUE(LEFT(t,FIND("x",t)-1)),""))))</f>
        <v/>
      </c>
      <c r="D179" s="18">
        <f>IF($M$2&lt;&gt;"Flat Bar","",LET(k,IFERROR(INDEX(LET(cat,$E$94:$E$169,box,VSTACK($P$2,$L$7:$L$26),live,UNIQUE(FILTER(VSTACK(cat,box),VSTACK(cat,box)&lt;&gt;"")),FILTER(live,COUNTIF(cat,live)=0)),10),""),t,SUBSTITUTE(SUBSTITUTE(TRIM(k&amp;"")," ",""),"×","x"),IF(OR(k="",ISNUMBER(k)),"",IFERROR(VALUE(MID(t,FIND("x",t)+1,32)),""))))</f>
        <v/>
      </c>
      <c r="E179" s="48">
        <f>IF($M$2&lt;&gt;"Flat Bar","",IFERROR(INDEX(LET(cat,$E$94:$E$169,box,VSTACK($P$2,$L$7:$L$26),live,UNIQUE(FILTER(VSTACK(cat,box),VSTACK(cat,box)&lt;&gt;"")),FILTER(live,COUNTIF(cat,live)=0)),10),""))</f>
        <v/>
      </c>
      <c r="F179" s="49" t="n"/>
      <c r="G179" s="49">
        <f>$I$3</f>
        <v/>
      </c>
      <c r="H179" s="50">
        <f>IF(F179="","",F179+$I$3)</f>
        <v/>
      </c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16" t="inlineStr"/>
      <c r="B180" s="42" t="inlineStr"/>
      <c r="C180" s="14">
        <f>IF($M$2&lt;&gt;"Flat Bar","",LET(k,IFERROR(INDEX(LET(cat,$E$94:$E$169,box,VSTACK($P$2,$L$7:$L$26),live,UNIQUE(FILTER(VSTACK(cat,box),VSTACK(cat,box)&lt;&gt;"")),FILTER(live,COUNTIF(cat,live)=0)),11),""),t,SUBSTITUTE(SUBSTITUTE(TRIM(k&amp;"")," ",""),"×","x"),IF(OR(k="",ISNUMBER(k)),"",IFERROR(VALUE(LEFT(t,FIND("x",t)-1)),""))))</f>
        <v/>
      </c>
      <c r="D180" s="14">
        <f>IF($M$2&lt;&gt;"Flat Bar","",LET(k,IFERROR(INDEX(LET(cat,$E$94:$E$169,box,VSTACK($P$2,$L$7:$L$26),live,UNIQUE(FILTER(VSTACK(cat,box),VSTACK(cat,box)&lt;&gt;"")),FILTER(live,COUNTIF(cat,live)=0)),11),""),t,SUBSTITUTE(SUBSTITUTE(TRIM(k&amp;"")," ",""),"×","x"),IF(OR(k="",ISNUMBER(k)),"",IFERROR(VALUE(MID(t,FIND("x",t)+1,32)),""))))</f>
        <v/>
      </c>
      <c r="E180" s="43">
        <f>IF($M$2&lt;&gt;"Flat Bar","",IFERROR(INDEX(LET(cat,$E$94:$E$169,box,VSTACK($P$2,$L$7:$L$26),live,UNIQUE(FILTER(VSTACK(cat,box),VSTACK(cat,box)&lt;&gt;"")),FILTER(live,COUNTIF(cat,live)=0)),11),""))</f>
        <v/>
      </c>
      <c r="F180" s="44" t="n"/>
      <c r="G180" s="44">
        <f>$I$3</f>
        <v/>
      </c>
      <c r="H180" s="45">
        <f>IF(F180="","",F180+$I$3)</f>
        <v/>
      </c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0" t="inlineStr"/>
      <c r="B181" s="47" t="inlineStr"/>
      <c r="C181" s="18">
        <f>IF($M$2&lt;&gt;"Flat Bar","",LET(k,IFERROR(INDEX(LET(cat,$E$94:$E$169,box,VSTACK($P$2,$L$7:$L$26),live,UNIQUE(FILTER(VSTACK(cat,box),VSTACK(cat,box)&lt;&gt;"")),FILTER(live,COUNTIF(cat,live)=0)),12),""),t,SUBSTITUTE(SUBSTITUTE(TRIM(k&amp;"")," ",""),"×","x"),IF(OR(k="",ISNUMBER(k)),"",IFERROR(VALUE(LEFT(t,FIND("x",t)-1)),""))))</f>
        <v/>
      </c>
      <c r="D181" s="18">
        <f>IF($M$2&lt;&gt;"Flat Bar","",LET(k,IFERROR(INDEX(LET(cat,$E$94:$E$169,box,VSTACK($P$2,$L$7:$L$26),live,UNIQUE(FILTER(VSTACK(cat,box),VSTACK(cat,box)&lt;&gt;"")),FILTER(live,COUNTIF(cat,live)=0)),12),""),t,SUBSTITUTE(SUBSTITUTE(TRIM(k&amp;"")," ",""),"×","x"),IF(OR(k="",ISNUMBER(k)),"",IFERROR(VALUE(MID(t,FIND("x",t)+1,32)),""))))</f>
        <v/>
      </c>
      <c r="E181" s="48">
        <f>IF($M$2&lt;&gt;"Flat Bar","",IFERROR(INDEX(LET(cat,$E$94:$E$169,box,VSTACK($P$2,$L$7:$L$26),live,UNIQUE(FILTER(VSTACK(cat,box),VSTACK(cat,box)&lt;&gt;"")),FILTER(live,COUNTIF(cat,live)=0)),12),""))</f>
        <v/>
      </c>
      <c r="F181" s="49" t="n"/>
      <c r="G181" s="49">
        <f>$I$3</f>
        <v/>
      </c>
      <c r="H181" s="50">
        <f>IF(F181="","",F181+$I$3)</f>
        <v/>
      </c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16" t="inlineStr"/>
      <c r="B182" s="42" t="inlineStr"/>
      <c r="C182" s="14">
        <f>IF($M$2&lt;&gt;"Flat Bar","",LET(k,IFERROR(INDEX(LET(cat,$E$94:$E$169,box,VSTACK($P$2,$L$7:$L$26),live,UNIQUE(FILTER(VSTACK(cat,box),VSTACK(cat,box)&lt;&gt;"")),FILTER(live,COUNTIF(cat,live)=0)),13),""),t,SUBSTITUTE(SUBSTITUTE(TRIM(k&amp;"")," ",""),"×","x"),IF(OR(k="",ISNUMBER(k)),"",IFERROR(VALUE(LEFT(t,FIND("x",t)-1)),""))))</f>
        <v/>
      </c>
      <c r="D182" s="14">
        <f>IF($M$2&lt;&gt;"Flat Bar","",LET(k,IFERROR(INDEX(LET(cat,$E$94:$E$169,box,VSTACK($P$2,$L$7:$L$26),live,UNIQUE(FILTER(VSTACK(cat,box),VSTACK(cat,box)&lt;&gt;"")),FILTER(live,COUNTIF(cat,live)=0)),13),""),t,SUBSTITUTE(SUBSTITUTE(TRIM(k&amp;"")," ",""),"×","x"),IF(OR(k="",ISNUMBER(k)),"",IFERROR(VALUE(MID(t,FIND("x",t)+1,32)),""))))</f>
        <v/>
      </c>
      <c r="E182" s="43">
        <f>IF($M$2&lt;&gt;"Flat Bar","",IFERROR(INDEX(LET(cat,$E$94:$E$169,box,VSTACK($P$2,$L$7:$L$26),live,UNIQUE(FILTER(VSTACK(cat,box),VSTACK(cat,box)&lt;&gt;"")),FILTER(live,COUNTIF(cat,live)=0)),13),""))</f>
        <v/>
      </c>
      <c r="F182" s="44" t="n"/>
      <c r="G182" s="44">
        <f>$I$3</f>
        <v/>
      </c>
      <c r="H182" s="45">
        <f>IF(F182="","",F182+$I$3)</f>
        <v/>
      </c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0" t="inlineStr"/>
      <c r="B183" s="47" t="inlineStr"/>
      <c r="C183" s="18">
        <f>IF($M$2&lt;&gt;"Flat Bar","",LET(k,IFERROR(INDEX(LET(cat,$E$94:$E$169,box,VSTACK($P$2,$L$7:$L$26),live,UNIQUE(FILTER(VSTACK(cat,box),VSTACK(cat,box)&lt;&gt;"")),FILTER(live,COUNTIF(cat,live)=0)),14),""),t,SUBSTITUTE(SUBSTITUTE(TRIM(k&amp;"")," ",""),"×","x"),IF(OR(k="",ISNUMBER(k)),"",IFERROR(VALUE(LEFT(t,FIND("x",t)-1)),""))))</f>
        <v/>
      </c>
      <c r="D183" s="18">
        <f>IF($M$2&lt;&gt;"Flat Bar","",LET(k,IFERROR(INDEX(LET(cat,$E$94:$E$169,box,VSTACK($P$2,$L$7:$L$26),live,UNIQUE(FILTER(VSTACK(cat,box),VSTACK(cat,box)&lt;&gt;"")),FILTER(live,COUNTIF(cat,live)=0)),14),""),t,SUBSTITUTE(SUBSTITUTE(TRIM(k&amp;"")," ",""),"×","x"),IF(OR(k="",ISNUMBER(k)),"",IFERROR(VALUE(MID(t,FIND("x",t)+1,32)),""))))</f>
        <v/>
      </c>
      <c r="E183" s="48">
        <f>IF($M$2&lt;&gt;"Flat Bar","",IFERROR(INDEX(LET(cat,$E$94:$E$169,box,VSTACK($P$2,$L$7:$L$26),live,UNIQUE(FILTER(VSTACK(cat,box),VSTACK(cat,box)&lt;&gt;"")),FILTER(live,COUNTIF(cat,live)=0)),14),""))</f>
        <v/>
      </c>
      <c r="F183" s="49" t="n"/>
      <c r="G183" s="49">
        <f>$I$3</f>
        <v/>
      </c>
      <c r="H183" s="50">
        <f>IF(F183="","",F183+$I$3)</f>
        <v/>
      </c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16" t="inlineStr"/>
      <c r="B184" s="42" t="inlineStr"/>
      <c r="C184" s="14">
        <f>IF($M$2&lt;&gt;"Flat Bar","",LET(k,IFERROR(INDEX(LET(cat,$E$94:$E$169,box,VSTACK($P$2,$L$7:$L$26),live,UNIQUE(FILTER(VSTACK(cat,box),VSTACK(cat,box)&lt;&gt;"")),FILTER(live,COUNTIF(cat,live)=0)),15),""),t,SUBSTITUTE(SUBSTITUTE(TRIM(k&amp;"")," ",""),"×","x"),IF(OR(k="",ISNUMBER(k)),"",IFERROR(VALUE(LEFT(t,FIND("x",t)-1)),""))))</f>
        <v/>
      </c>
      <c r="D184" s="14">
        <f>IF($M$2&lt;&gt;"Flat Bar","",LET(k,IFERROR(INDEX(LET(cat,$E$94:$E$169,box,VSTACK($P$2,$L$7:$L$26),live,UNIQUE(FILTER(VSTACK(cat,box),VSTACK(cat,box)&lt;&gt;"")),FILTER(live,COUNTIF(cat,live)=0)),15),""),t,SUBSTITUTE(SUBSTITUTE(TRIM(k&amp;"")," ",""),"×","x"),IF(OR(k="",ISNUMBER(k)),"",IFERROR(VALUE(MID(t,FIND("x",t)+1,32)),""))))</f>
        <v/>
      </c>
      <c r="E184" s="43">
        <f>IF($M$2&lt;&gt;"Flat Bar","",IFERROR(INDEX(LET(cat,$E$94:$E$169,box,VSTACK($P$2,$L$7:$L$26),live,UNIQUE(FILTER(VSTACK(cat,box),VSTACK(cat,box)&lt;&gt;"")),FILTER(live,COUNTIF(cat,live)=0)),15),""))</f>
        <v/>
      </c>
      <c r="F184" s="44" t="n"/>
      <c r="G184" s="44">
        <f>$I$3</f>
        <v/>
      </c>
      <c r="H184" s="45">
        <f>IF(F184="","",F184+$I$3)</f>
        <v/>
      </c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0" t="inlineStr"/>
      <c r="B185" s="47" t="inlineStr"/>
      <c r="C185" s="18">
        <f>IF($M$2&lt;&gt;"Flat Bar","",LET(k,IFERROR(INDEX(LET(cat,$E$94:$E$169,box,VSTACK($P$2,$L$7:$L$26),live,UNIQUE(FILTER(VSTACK(cat,box),VSTACK(cat,box)&lt;&gt;"")),FILTER(live,COUNTIF(cat,live)=0)),16),""),t,SUBSTITUTE(SUBSTITUTE(TRIM(k&amp;"")," ",""),"×","x"),IF(OR(k="",ISNUMBER(k)),"",IFERROR(VALUE(LEFT(t,FIND("x",t)-1)),""))))</f>
        <v/>
      </c>
      <c r="D185" s="18">
        <f>IF($M$2&lt;&gt;"Flat Bar","",LET(k,IFERROR(INDEX(LET(cat,$E$94:$E$169,box,VSTACK($P$2,$L$7:$L$26),live,UNIQUE(FILTER(VSTACK(cat,box),VSTACK(cat,box)&lt;&gt;"")),FILTER(live,COUNTIF(cat,live)=0)),16),""),t,SUBSTITUTE(SUBSTITUTE(TRIM(k&amp;"")," ",""),"×","x"),IF(OR(k="",ISNUMBER(k)),"",IFERROR(VALUE(MID(t,FIND("x",t)+1,32)),""))))</f>
        <v/>
      </c>
      <c r="E185" s="48">
        <f>IF($M$2&lt;&gt;"Flat Bar","",IFERROR(INDEX(LET(cat,$E$94:$E$169,box,VSTACK($P$2,$L$7:$L$26),live,UNIQUE(FILTER(VSTACK(cat,box),VSTACK(cat,box)&lt;&gt;"")),FILTER(live,COUNTIF(cat,live)=0)),16),""))</f>
        <v/>
      </c>
      <c r="F185" s="49" t="n"/>
      <c r="G185" s="49">
        <f>$I$3</f>
        <v/>
      </c>
      <c r="H185" s="50">
        <f>IF(F185="","",F185+$I$3)</f>
        <v/>
      </c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16" t="inlineStr"/>
      <c r="B186" s="42" t="inlineStr"/>
      <c r="C186" s="14">
        <f>IF($M$2&lt;&gt;"Flat Bar","",LET(k,IFERROR(INDEX(LET(cat,$E$94:$E$169,box,VSTACK($P$2,$L$7:$L$26),live,UNIQUE(FILTER(VSTACK(cat,box),VSTACK(cat,box)&lt;&gt;"")),FILTER(live,COUNTIF(cat,live)=0)),17),""),t,SUBSTITUTE(SUBSTITUTE(TRIM(k&amp;"")," ",""),"×","x"),IF(OR(k="",ISNUMBER(k)),"",IFERROR(VALUE(LEFT(t,FIND("x",t)-1)),""))))</f>
        <v/>
      </c>
      <c r="D186" s="14">
        <f>IF($M$2&lt;&gt;"Flat Bar","",LET(k,IFERROR(INDEX(LET(cat,$E$94:$E$169,box,VSTACK($P$2,$L$7:$L$26),live,UNIQUE(FILTER(VSTACK(cat,box),VSTACK(cat,box)&lt;&gt;"")),FILTER(live,COUNTIF(cat,live)=0)),17),""),t,SUBSTITUTE(SUBSTITUTE(TRIM(k&amp;"")," ",""),"×","x"),IF(OR(k="",ISNUMBER(k)),"",IFERROR(VALUE(MID(t,FIND("x",t)+1,32)),""))))</f>
        <v/>
      </c>
      <c r="E186" s="43">
        <f>IF($M$2&lt;&gt;"Flat Bar","",IFERROR(INDEX(LET(cat,$E$94:$E$169,box,VSTACK($P$2,$L$7:$L$26),live,UNIQUE(FILTER(VSTACK(cat,box),VSTACK(cat,box)&lt;&gt;"")),FILTER(live,COUNTIF(cat,live)=0)),17),""))</f>
        <v/>
      </c>
      <c r="F186" s="44" t="n"/>
      <c r="G186" s="44">
        <f>$I$3</f>
        <v/>
      </c>
      <c r="H186" s="45">
        <f>IF(F186="","",F186+$I$3)</f>
        <v/>
      </c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0" t="inlineStr"/>
      <c r="B187" s="47" t="inlineStr"/>
      <c r="C187" s="18">
        <f>IF($M$2&lt;&gt;"Flat Bar","",LET(k,IFERROR(INDEX(LET(cat,$E$94:$E$169,box,VSTACK($P$2,$L$7:$L$26),live,UNIQUE(FILTER(VSTACK(cat,box),VSTACK(cat,box)&lt;&gt;"")),FILTER(live,COUNTIF(cat,live)=0)),18),""),t,SUBSTITUTE(SUBSTITUTE(TRIM(k&amp;"")," ",""),"×","x"),IF(OR(k="",ISNUMBER(k)),"",IFERROR(VALUE(LEFT(t,FIND("x",t)-1)),""))))</f>
        <v/>
      </c>
      <c r="D187" s="18">
        <f>IF($M$2&lt;&gt;"Flat Bar","",LET(k,IFERROR(INDEX(LET(cat,$E$94:$E$169,box,VSTACK($P$2,$L$7:$L$26),live,UNIQUE(FILTER(VSTACK(cat,box),VSTACK(cat,box)&lt;&gt;"")),FILTER(live,COUNTIF(cat,live)=0)),18),""),t,SUBSTITUTE(SUBSTITUTE(TRIM(k&amp;"")," ",""),"×","x"),IF(OR(k="",ISNUMBER(k)),"",IFERROR(VALUE(MID(t,FIND("x",t)+1,32)),""))))</f>
        <v/>
      </c>
      <c r="E187" s="48">
        <f>IF($M$2&lt;&gt;"Flat Bar","",IFERROR(INDEX(LET(cat,$E$94:$E$169,box,VSTACK($P$2,$L$7:$L$26),live,UNIQUE(FILTER(VSTACK(cat,box),VSTACK(cat,box)&lt;&gt;"")),FILTER(live,COUNTIF(cat,live)=0)),18),""))</f>
        <v/>
      </c>
      <c r="F187" s="49" t="n"/>
      <c r="G187" s="49">
        <f>$I$3</f>
        <v/>
      </c>
      <c r="H187" s="50">
        <f>IF(F187="","",F187+$I$3)</f>
        <v/>
      </c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16" t="inlineStr"/>
      <c r="B188" s="42" t="inlineStr"/>
      <c r="C188" s="14">
        <f>IF($M$2&lt;&gt;"Flat Bar","",LET(k,IFERROR(INDEX(LET(cat,$E$94:$E$169,box,VSTACK($P$2,$L$7:$L$26),live,UNIQUE(FILTER(VSTACK(cat,box),VSTACK(cat,box)&lt;&gt;"")),FILTER(live,COUNTIF(cat,live)=0)),19),""),t,SUBSTITUTE(SUBSTITUTE(TRIM(k&amp;"")," ",""),"×","x"),IF(OR(k="",ISNUMBER(k)),"",IFERROR(VALUE(LEFT(t,FIND("x",t)-1)),""))))</f>
        <v/>
      </c>
      <c r="D188" s="14">
        <f>IF($M$2&lt;&gt;"Flat Bar","",LET(k,IFERROR(INDEX(LET(cat,$E$94:$E$169,box,VSTACK($P$2,$L$7:$L$26),live,UNIQUE(FILTER(VSTACK(cat,box),VSTACK(cat,box)&lt;&gt;"")),FILTER(live,COUNTIF(cat,live)=0)),19),""),t,SUBSTITUTE(SUBSTITUTE(TRIM(k&amp;"")," ",""),"×","x"),IF(OR(k="",ISNUMBER(k)),"",IFERROR(VALUE(MID(t,FIND("x",t)+1,32)),""))))</f>
        <v/>
      </c>
      <c r="E188" s="43">
        <f>IF($M$2&lt;&gt;"Flat Bar","",IFERROR(INDEX(LET(cat,$E$94:$E$169,box,VSTACK($P$2,$L$7:$L$26),live,UNIQUE(FILTER(VSTACK(cat,box),VSTACK(cat,box)&lt;&gt;"")),FILTER(live,COUNTIF(cat,live)=0)),19),""))</f>
        <v/>
      </c>
      <c r="F188" s="44" t="n"/>
      <c r="G188" s="44">
        <f>$I$3</f>
        <v/>
      </c>
      <c r="H188" s="45">
        <f>IF(F188="","",F188+$I$3)</f>
        <v/>
      </c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0" t="inlineStr"/>
      <c r="B189" s="47" t="inlineStr"/>
      <c r="C189" s="18">
        <f>IF($M$2&lt;&gt;"Flat Bar","",LET(k,IFERROR(INDEX(LET(cat,$E$94:$E$169,box,VSTACK($P$2,$L$7:$L$26),live,UNIQUE(FILTER(VSTACK(cat,box),VSTACK(cat,box)&lt;&gt;"")),FILTER(live,COUNTIF(cat,live)=0)),20),""),t,SUBSTITUTE(SUBSTITUTE(TRIM(k&amp;"")," ",""),"×","x"),IF(OR(k="",ISNUMBER(k)),"",IFERROR(VALUE(LEFT(t,FIND("x",t)-1)),""))))</f>
        <v/>
      </c>
      <c r="D189" s="18">
        <f>IF($M$2&lt;&gt;"Flat Bar","",LET(k,IFERROR(INDEX(LET(cat,$E$94:$E$169,box,VSTACK($P$2,$L$7:$L$26),live,UNIQUE(FILTER(VSTACK(cat,box),VSTACK(cat,box)&lt;&gt;"")),FILTER(live,COUNTIF(cat,live)=0)),20),""),t,SUBSTITUTE(SUBSTITUTE(TRIM(k&amp;"")," ",""),"×","x"),IF(OR(k="",ISNUMBER(k)),"",IFERROR(VALUE(MID(t,FIND("x",t)+1,32)),""))))</f>
        <v/>
      </c>
      <c r="E189" s="48">
        <f>IF($M$2&lt;&gt;"Flat Bar","",IFERROR(INDEX(LET(cat,$E$94:$E$169,box,VSTACK($P$2,$L$7:$L$26),live,UNIQUE(FILTER(VSTACK(cat,box),VSTACK(cat,box)&lt;&gt;"")),FILTER(live,COUNTIF(cat,live)=0)),20),""))</f>
        <v/>
      </c>
      <c r="F189" s="49" t="n"/>
      <c r="G189" s="49">
        <f>$I$3</f>
        <v/>
      </c>
      <c r="H189" s="50">
        <f>IF(F189="","",F189+$I$3)</f>
        <v/>
      </c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</sheetData>
  <mergeCells count="17">
    <mergeCell ref="H1:J1"/>
    <mergeCell ref="A92:H92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47:G47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P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MS Black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Flat Bar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Flat Bar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shape",IF($M$2="Flat Bar",IF(OR(COUNTIF($E$8:$E$28,$P$2)&gt;0,COUNTIF($L$7:$L$26,$P$2)&gt;0),"Already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FLAT BAR</t>
        </is>
      </c>
      <c r="B6" s="38" t="n"/>
      <c r="C6" s="38" t="n"/>
      <c r="D6" s="38" t="n"/>
      <c r="E6" s="38" t="n"/>
      <c r="F6" s="38" t="n"/>
      <c r="G6" s="38" t="n"/>
      <c r="H6" s="38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Thickness (mm)</t>
        </is>
      </c>
      <c r="D7" s="13" t="inlineStr">
        <is>
          <t>Width (mm)</t>
        </is>
      </c>
      <c r="E7" s="13" t="inlineStr">
        <is>
          <t>Size</t>
        </is>
      </c>
      <c r="F7" s="13" t="inlineStr">
        <is>
          <t>Base Price (Rs/kg)</t>
        </is>
      </c>
      <c r="G7" s="13" t="inlineStr">
        <is>
          <t>Daily Adj</t>
        </is>
      </c>
      <c r="H7" s="13" t="inlineStr">
        <is>
          <t>Selling Price (Rs/kg)</t>
        </is>
      </c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Heavy Flat</t>
        </is>
      </c>
      <c r="B8" s="42" t="inlineStr"/>
      <c r="C8" s="14" t="n">
        <v>32</v>
      </c>
      <c r="D8" s="14" t="n">
        <v>40</v>
      </c>
      <c r="E8" s="43" t="inlineStr">
        <is>
          <t>32x40</t>
        </is>
      </c>
      <c r="F8" s="44" t="n"/>
      <c r="G8" s="44">
        <f>$I$3</f>
        <v/>
      </c>
      <c r="H8" s="45">
        <f>IF(F8="","",F8+$I$3)</f>
        <v/>
      </c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>
        <is>
          <t>Heavy Flat</t>
        </is>
      </c>
      <c r="B9" s="47" t="inlineStr"/>
      <c r="C9" s="18" t="n">
        <v>32</v>
      </c>
      <c r="D9" s="18" t="n">
        <v>50</v>
      </c>
      <c r="E9" s="48" t="inlineStr">
        <is>
          <t>32x50</t>
        </is>
      </c>
      <c r="F9" s="49" t="n"/>
      <c r="G9" s="49">
        <f>$I$3</f>
        <v/>
      </c>
      <c r="H9" s="50">
        <f>IF(F9="","",F9+$I$3)</f>
        <v/>
      </c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>
        <is>
          <t>Heavy Flat</t>
        </is>
      </c>
      <c r="B10" s="42" t="inlineStr"/>
      <c r="C10" s="14" t="n">
        <v>32</v>
      </c>
      <c r="D10" s="14" t="n">
        <v>65</v>
      </c>
      <c r="E10" s="43" t="inlineStr">
        <is>
          <t>32x65</t>
        </is>
      </c>
      <c r="F10" s="44" t="n"/>
      <c r="G10" s="44">
        <f>$I$3</f>
        <v/>
      </c>
      <c r="H10" s="45">
        <f>IF(F10="","",F10+$I$3)</f>
        <v/>
      </c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>
        <is>
          <t>Heavy Flat</t>
        </is>
      </c>
      <c r="B11" s="47" t="inlineStr"/>
      <c r="C11" s="18" t="n">
        <v>32</v>
      </c>
      <c r="D11" s="18" t="n">
        <v>75</v>
      </c>
      <c r="E11" s="48" t="inlineStr">
        <is>
          <t>32x75</t>
        </is>
      </c>
      <c r="F11" s="49" t="n"/>
      <c r="G11" s="49">
        <f>$I$3</f>
        <v/>
      </c>
      <c r="H11" s="50">
        <f>IF(F11="","",F11+$I$3)</f>
        <v/>
      </c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>
        <is>
          <t>Heavy Flat</t>
        </is>
      </c>
      <c r="B12" s="42" t="inlineStr"/>
      <c r="C12" s="14" t="n">
        <v>32</v>
      </c>
      <c r="D12" s="14" t="n">
        <v>100</v>
      </c>
      <c r="E12" s="43" t="inlineStr">
        <is>
          <t>32x100</t>
        </is>
      </c>
      <c r="F12" s="44" t="n"/>
      <c r="G12" s="44">
        <f>$I$3</f>
        <v/>
      </c>
      <c r="H12" s="45">
        <f>IF(F12="","",F12+$I$3)</f>
        <v/>
      </c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>
        <is>
          <t>Heavy Flat</t>
        </is>
      </c>
      <c r="B13" s="47" t="inlineStr"/>
      <c r="C13" s="18" t="n">
        <v>32</v>
      </c>
      <c r="D13" s="18" t="n">
        <v>125</v>
      </c>
      <c r="E13" s="48" t="inlineStr">
        <is>
          <t>32x125</t>
        </is>
      </c>
      <c r="F13" s="49" t="n"/>
      <c r="G13" s="49">
        <f>$I$3</f>
        <v/>
      </c>
      <c r="H13" s="50">
        <f>IF(F13="","",F13+$I$3)</f>
        <v/>
      </c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>
        <is>
          <t>Heavy Flat</t>
        </is>
      </c>
      <c r="B14" s="42" t="inlineStr"/>
      <c r="C14" s="14" t="n">
        <v>32</v>
      </c>
      <c r="D14" s="14" t="n">
        <v>150</v>
      </c>
      <c r="E14" s="43" t="inlineStr">
        <is>
          <t>32x150</t>
        </is>
      </c>
      <c r="F14" s="44" t="n"/>
      <c r="G14" s="44">
        <f>$I$3</f>
        <v/>
      </c>
      <c r="H14" s="45">
        <f>IF(F14="","",F14+$I$3)</f>
        <v/>
      </c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>
        <is>
          <t>Heavy Flat</t>
        </is>
      </c>
      <c r="B15" s="47" t="inlineStr"/>
      <c r="C15" s="18" t="n">
        <v>32</v>
      </c>
      <c r="D15" s="18" t="n">
        <v>200</v>
      </c>
      <c r="E15" s="48" t="inlineStr">
        <is>
          <t>32x200</t>
        </is>
      </c>
      <c r="F15" s="49" t="n"/>
      <c r="G15" s="49">
        <f>$I$3</f>
        <v/>
      </c>
      <c r="H15" s="50">
        <f>IF(F15="","",F15+$I$3)</f>
        <v/>
      </c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>
        <is>
          <t>Heavy Flat</t>
        </is>
      </c>
      <c r="B16" s="42" t="inlineStr"/>
      <c r="C16" s="14" t="n">
        <v>40</v>
      </c>
      <c r="D16" s="14" t="n">
        <v>50</v>
      </c>
      <c r="E16" s="43" t="inlineStr">
        <is>
          <t>40x50</t>
        </is>
      </c>
      <c r="F16" s="44" t="n"/>
      <c r="G16" s="44">
        <f>$I$3</f>
        <v/>
      </c>
      <c r="H16" s="45">
        <f>IF(F16="","",F16+$I$3)</f>
        <v/>
      </c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>
        <is>
          <t>Heavy Flat</t>
        </is>
      </c>
      <c r="B17" s="47" t="inlineStr"/>
      <c r="C17" s="18" t="n">
        <v>40</v>
      </c>
      <c r="D17" s="18" t="n">
        <v>65</v>
      </c>
      <c r="E17" s="48" t="inlineStr">
        <is>
          <t>40x65</t>
        </is>
      </c>
      <c r="F17" s="49" t="n"/>
      <c r="G17" s="49">
        <f>$I$3</f>
        <v/>
      </c>
      <c r="H17" s="50">
        <f>IF(F17="","",F17+$I$3)</f>
        <v/>
      </c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>
        <is>
          <t>Heavy Flat</t>
        </is>
      </c>
      <c r="B18" s="42" t="inlineStr"/>
      <c r="C18" s="14" t="n">
        <v>40</v>
      </c>
      <c r="D18" s="14" t="n">
        <v>75</v>
      </c>
      <c r="E18" s="43" t="inlineStr">
        <is>
          <t>40x75</t>
        </is>
      </c>
      <c r="F18" s="44" t="n"/>
      <c r="G18" s="44">
        <f>$I$3</f>
        <v/>
      </c>
      <c r="H18" s="45">
        <f>IF(F18="","",F18+$I$3)</f>
        <v/>
      </c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>
        <is>
          <t>Heavy Flat</t>
        </is>
      </c>
      <c r="B19" s="47" t="inlineStr"/>
      <c r="C19" s="18" t="n">
        <v>40</v>
      </c>
      <c r="D19" s="18" t="n">
        <v>100</v>
      </c>
      <c r="E19" s="48" t="inlineStr">
        <is>
          <t>40x100</t>
        </is>
      </c>
      <c r="F19" s="49" t="n"/>
      <c r="G19" s="49">
        <f>$I$3</f>
        <v/>
      </c>
      <c r="H19" s="50">
        <f>IF(F19="","",F19+$I$3)</f>
        <v/>
      </c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>
        <is>
          <t>Heavy Flat</t>
        </is>
      </c>
      <c r="B20" s="42" t="inlineStr"/>
      <c r="C20" s="14" t="n">
        <v>40</v>
      </c>
      <c r="D20" s="14" t="n">
        <v>125</v>
      </c>
      <c r="E20" s="43" t="inlineStr">
        <is>
          <t>40x125</t>
        </is>
      </c>
      <c r="F20" s="44" t="n"/>
      <c r="G20" s="44">
        <f>$I$3</f>
        <v/>
      </c>
      <c r="H20" s="45">
        <f>IF(F20="","",F20+$I$3)</f>
        <v/>
      </c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>
        <is>
          <t>Heavy Flat</t>
        </is>
      </c>
      <c r="B21" s="47" t="inlineStr"/>
      <c r="C21" s="18" t="n">
        <v>40</v>
      </c>
      <c r="D21" s="18" t="n">
        <v>150</v>
      </c>
      <c r="E21" s="48" t="inlineStr">
        <is>
          <t>40x150</t>
        </is>
      </c>
      <c r="F21" s="49" t="n"/>
      <c r="G21" s="49">
        <f>$I$3</f>
        <v/>
      </c>
      <c r="H21" s="50">
        <f>IF(F21="","",F21+$I$3)</f>
        <v/>
      </c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>
        <is>
          <t>Heavy Flat</t>
        </is>
      </c>
      <c r="B22" s="42" t="inlineStr"/>
      <c r="C22" s="14" t="n">
        <v>40</v>
      </c>
      <c r="D22" s="14" t="n">
        <v>200</v>
      </c>
      <c r="E22" s="43" t="inlineStr">
        <is>
          <t>40x200</t>
        </is>
      </c>
      <c r="F22" s="44" t="n"/>
      <c r="G22" s="44">
        <f>$I$3</f>
        <v/>
      </c>
      <c r="H22" s="45">
        <f>IF(F22="","",F22+$I$3)</f>
        <v/>
      </c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>
        <is>
          <t>Heavy Flat</t>
        </is>
      </c>
      <c r="B23" s="47" t="inlineStr"/>
      <c r="C23" s="18" t="n">
        <v>50</v>
      </c>
      <c r="D23" s="18" t="n">
        <v>65</v>
      </c>
      <c r="E23" s="48" t="inlineStr">
        <is>
          <t>50x65</t>
        </is>
      </c>
      <c r="F23" s="49" t="n"/>
      <c r="G23" s="49">
        <f>$I$3</f>
        <v/>
      </c>
      <c r="H23" s="50">
        <f>IF(F23="","",F23+$I$3)</f>
        <v/>
      </c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>
        <is>
          <t>Heavy Flat</t>
        </is>
      </c>
      <c r="B24" s="42" t="inlineStr"/>
      <c r="C24" s="14" t="n">
        <v>50</v>
      </c>
      <c r="D24" s="14" t="n">
        <v>75</v>
      </c>
      <c r="E24" s="43" t="inlineStr">
        <is>
          <t>50x75</t>
        </is>
      </c>
      <c r="F24" s="44" t="n"/>
      <c r="G24" s="44">
        <f>$I$3</f>
        <v/>
      </c>
      <c r="H24" s="45">
        <f>IF(F24="","",F24+$I$3)</f>
        <v/>
      </c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>
        <is>
          <t>Heavy Flat</t>
        </is>
      </c>
      <c r="B25" s="47" t="inlineStr"/>
      <c r="C25" s="18" t="n">
        <v>50</v>
      </c>
      <c r="D25" s="18" t="n">
        <v>100</v>
      </c>
      <c r="E25" s="48" t="inlineStr">
        <is>
          <t>50x100</t>
        </is>
      </c>
      <c r="F25" s="49" t="n"/>
      <c r="G25" s="49">
        <f>$I$3</f>
        <v/>
      </c>
      <c r="H25" s="50">
        <f>IF(F25="","",F25+$I$3)</f>
        <v/>
      </c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>
        <is>
          <t>Heavy Flat</t>
        </is>
      </c>
      <c r="B26" s="42" t="inlineStr"/>
      <c r="C26" s="14" t="n">
        <v>50</v>
      </c>
      <c r="D26" s="14" t="n">
        <v>125</v>
      </c>
      <c r="E26" s="43" t="inlineStr">
        <is>
          <t>50x125</t>
        </is>
      </c>
      <c r="F26" s="44" t="n"/>
      <c r="G26" s="44">
        <f>$I$3</f>
        <v/>
      </c>
      <c r="H26" s="45">
        <f>IF(F26="","",F26+$I$3)</f>
        <v/>
      </c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>
        <is>
          <t>Heavy Flat</t>
        </is>
      </c>
      <c r="B27" s="47" t="inlineStr"/>
      <c r="C27" s="18" t="n">
        <v>50</v>
      </c>
      <c r="D27" s="18" t="n">
        <v>150</v>
      </c>
      <c r="E27" s="48" t="inlineStr">
        <is>
          <t>50x150</t>
        </is>
      </c>
      <c r="F27" s="49" t="n"/>
      <c r="G27" s="49">
        <f>$I$3</f>
        <v/>
      </c>
      <c r="H27" s="50">
        <f>IF(F27="","",F27+$I$3)</f>
        <v/>
      </c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>
        <is>
          <t>Heavy Flat</t>
        </is>
      </c>
      <c r="B28" s="42" t="inlineStr"/>
      <c r="C28" s="14" t="n">
        <v>50</v>
      </c>
      <c r="D28" s="14" t="n">
        <v>200</v>
      </c>
      <c r="E28" s="43" t="inlineStr">
        <is>
          <t>50x200</t>
        </is>
      </c>
      <c r="F28" s="44" t="n"/>
      <c r="G28" s="44">
        <f>$I$3</f>
        <v/>
      </c>
      <c r="H28" s="45">
        <f>IF(F28="","",F28+$I$3)</f>
        <v/>
      </c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0" t="inlineStr"/>
      <c r="B29" s="47" t="inlineStr"/>
      <c r="C29" s="18">
        <f>IF($M$2&lt;&gt;"Flat Bar","",LET(k,IFERROR(INDEX(LET(cat,$E$8:$E$28,box,VSTACK($P$2,$L$7:$L$26),live,UNIQUE(FILTER(VSTACK(cat,box),VSTACK(cat,box)&lt;&gt;"")),FILTER(live,COUNTIF(cat,live)=0)),1),""),t,SUBSTITUTE(SUBSTITUTE(TRIM(k&amp;"")," ",""),"×","x"),IF(OR(k="",ISNUMBER(k)),"",IFERROR(VALUE(LEFT(t,FIND("x",t)-1)),""))))</f>
        <v/>
      </c>
      <c r="D29" s="18">
        <f>IF($M$2&lt;&gt;"Flat Bar","",LET(k,IFERROR(INDEX(LET(cat,$E$8:$E$28,box,VSTACK($P$2,$L$7:$L$26),live,UNIQUE(FILTER(VSTACK(cat,box),VSTACK(cat,box)&lt;&gt;"")),FILTER(live,COUNTIF(cat,live)=0)),1),""),t,SUBSTITUTE(SUBSTITUTE(TRIM(k&amp;"")," ",""),"×","x"),IF(OR(k="",ISNUMBER(k)),"",IFERROR(VALUE(MID(t,FIND("x",t)+1,32)),""))))</f>
        <v/>
      </c>
      <c r="E29" s="48">
        <f>IF($M$2&lt;&gt;"Flat Bar","",IFERROR(INDEX(LET(cat,$E$8:$E$28,box,VSTACK($P$2,$L$7:$L$26),live,UNIQUE(FILTER(VSTACK(cat,box),VSTACK(cat,box)&lt;&gt;"")),FILTER(live,COUNTIF(cat,live)=0)),1),""))</f>
        <v/>
      </c>
      <c r="F29" s="49" t="n"/>
      <c r="G29" s="49">
        <f>$I$3</f>
        <v/>
      </c>
      <c r="H29" s="50">
        <f>IF(F29="","",F29+$I$3)</f>
        <v/>
      </c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16" t="inlineStr"/>
      <c r="B30" s="42" t="inlineStr"/>
      <c r="C30" s="14">
        <f>IF($M$2&lt;&gt;"Flat Bar","",LET(k,IFERROR(INDEX(LET(cat,$E$8:$E$28,box,VSTACK($P$2,$L$7:$L$26),live,UNIQUE(FILTER(VSTACK(cat,box),VSTACK(cat,box)&lt;&gt;"")),FILTER(live,COUNTIF(cat,live)=0)),2),""),t,SUBSTITUTE(SUBSTITUTE(TRIM(k&amp;"")," ",""),"×","x"),IF(OR(k="",ISNUMBER(k)),"",IFERROR(VALUE(LEFT(t,FIND("x",t)-1)),""))))</f>
        <v/>
      </c>
      <c r="D30" s="14">
        <f>IF($M$2&lt;&gt;"Flat Bar","",LET(k,IFERROR(INDEX(LET(cat,$E$8:$E$28,box,VSTACK($P$2,$L$7:$L$26),live,UNIQUE(FILTER(VSTACK(cat,box),VSTACK(cat,box)&lt;&gt;"")),FILTER(live,COUNTIF(cat,live)=0)),2),""),t,SUBSTITUTE(SUBSTITUTE(TRIM(k&amp;"")," ",""),"×","x"),IF(OR(k="",ISNUMBER(k)),"",IFERROR(VALUE(MID(t,FIND("x",t)+1,32)),""))))</f>
        <v/>
      </c>
      <c r="E30" s="43">
        <f>IF($M$2&lt;&gt;"Flat Bar","",IFERROR(INDEX(LET(cat,$E$8:$E$28,box,VSTACK($P$2,$L$7:$L$26),live,UNIQUE(FILTER(VSTACK(cat,box),VSTACK(cat,box)&lt;&gt;"")),FILTER(live,COUNTIF(cat,live)=0)),2),""))</f>
        <v/>
      </c>
      <c r="F30" s="44" t="n"/>
      <c r="G30" s="44">
        <f>$I$3</f>
        <v/>
      </c>
      <c r="H30" s="45">
        <f>IF(F30="","",F30+$I$3)</f>
        <v/>
      </c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0" t="inlineStr"/>
      <c r="B31" s="47" t="inlineStr"/>
      <c r="C31" s="18">
        <f>IF($M$2&lt;&gt;"Flat Bar","",LET(k,IFERROR(INDEX(LET(cat,$E$8:$E$28,box,VSTACK($P$2,$L$7:$L$26),live,UNIQUE(FILTER(VSTACK(cat,box),VSTACK(cat,box)&lt;&gt;"")),FILTER(live,COUNTIF(cat,live)=0)),3),""),t,SUBSTITUTE(SUBSTITUTE(TRIM(k&amp;"")," ",""),"×","x"),IF(OR(k="",ISNUMBER(k)),"",IFERROR(VALUE(LEFT(t,FIND("x",t)-1)),""))))</f>
        <v/>
      </c>
      <c r="D31" s="18">
        <f>IF($M$2&lt;&gt;"Flat Bar","",LET(k,IFERROR(INDEX(LET(cat,$E$8:$E$28,box,VSTACK($P$2,$L$7:$L$26),live,UNIQUE(FILTER(VSTACK(cat,box),VSTACK(cat,box)&lt;&gt;"")),FILTER(live,COUNTIF(cat,live)=0)),3),""),t,SUBSTITUTE(SUBSTITUTE(TRIM(k&amp;"")," ",""),"×","x"),IF(OR(k="",ISNUMBER(k)),"",IFERROR(VALUE(MID(t,FIND("x",t)+1,32)),""))))</f>
        <v/>
      </c>
      <c r="E31" s="48">
        <f>IF($M$2&lt;&gt;"Flat Bar","",IFERROR(INDEX(LET(cat,$E$8:$E$28,box,VSTACK($P$2,$L$7:$L$26),live,UNIQUE(FILTER(VSTACK(cat,box),VSTACK(cat,box)&lt;&gt;"")),FILTER(live,COUNTIF(cat,live)=0)),3),""))</f>
        <v/>
      </c>
      <c r="F31" s="49" t="n"/>
      <c r="G31" s="49">
        <f>$I$3</f>
        <v/>
      </c>
      <c r="H31" s="50">
        <f>IF(F31="","",F31+$I$3)</f>
        <v/>
      </c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16" t="inlineStr"/>
      <c r="B32" s="42" t="inlineStr"/>
      <c r="C32" s="14">
        <f>IF($M$2&lt;&gt;"Flat Bar","",LET(k,IFERROR(INDEX(LET(cat,$E$8:$E$28,box,VSTACK($P$2,$L$7:$L$26),live,UNIQUE(FILTER(VSTACK(cat,box),VSTACK(cat,box)&lt;&gt;"")),FILTER(live,COUNTIF(cat,live)=0)),4),""),t,SUBSTITUTE(SUBSTITUTE(TRIM(k&amp;"")," ",""),"×","x"),IF(OR(k="",ISNUMBER(k)),"",IFERROR(VALUE(LEFT(t,FIND("x",t)-1)),""))))</f>
        <v/>
      </c>
      <c r="D32" s="14">
        <f>IF($M$2&lt;&gt;"Flat Bar","",LET(k,IFERROR(INDEX(LET(cat,$E$8:$E$28,box,VSTACK($P$2,$L$7:$L$26),live,UNIQUE(FILTER(VSTACK(cat,box),VSTACK(cat,box)&lt;&gt;"")),FILTER(live,COUNTIF(cat,live)=0)),4),""),t,SUBSTITUTE(SUBSTITUTE(TRIM(k&amp;"")," ",""),"×","x"),IF(OR(k="",ISNUMBER(k)),"",IFERROR(VALUE(MID(t,FIND("x",t)+1,32)),""))))</f>
        <v/>
      </c>
      <c r="E32" s="43">
        <f>IF($M$2&lt;&gt;"Flat Bar","",IFERROR(INDEX(LET(cat,$E$8:$E$28,box,VSTACK($P$2,$L$7:$L$26),live,UNIQUE(FILTER(VSTACK(cat,box),VSTACK(cat,box)&lt;&gt;"")),FILTER(live,COUNTIF(cat,live)=0)),4),""))</f>
        <v/>
      </c>
      <c r="F32" s="44" t="n"/>
      <c r="G32" s="44">
        <f>$I$3</f>
        <v/>
      </c>
      <c r="H32" s="45">
        <f>IF(F32="","",F32+$I$3)</f>
        <v/>
      </c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0" t="inlineStr"/>
      <c r="B33" s="47" t="inlineStr"/>
      <c r="C33" s="18">
        <f>IF($M$2&lt;&gt;"Flat Bar","",LET(k,IFERROR(INDEX(LET(cat,$E$8:$E$28,box,VSTACK($P$2,$L$7:$L$26),live,UNIQUE(FILTER(VSTACK(cat,box),VSTACK(cat,box)&lt;&gt;"")),FILTER(live,COUNTIF(cat,live)=0)),5),""),t,SUBSTITUTE(SUBSTITUTE(TRIM(k&amp;"")," ",""),"×","x"),IF(OR(k="",ISNUMBER(k)),"",IFERROR(VALUE(LEFT(t,FIND("x",t)-1)),""))))</f>
        <v/>
      </c>
      <c r="D33" s="18">
        <f>IF($M$2&lt;&gt;"Flat Bar","",LET(k,IFERROR(INDEX(LET(cat,$E$8:$E$28,box,VSTACK($P$2,$L$7:$L$26),live,UNIQUE(FILTER(VSTACK(cat,box),VSTACK(cat,box)&lt;&gt;"")),FILTER(live,COUNTIF(cat,live)=0)),5),""),t,SUBSTITUTE(SUBSTITUTE(TRIM(k&amp;"")," ",""),"×","x"),IF(OR(k="",ISNUMBER(k)),"",IFERROR(VALUE(MID(t,FIND("x",t)+1,32)),""))))</f>
        <v/>
      </c>
      <c r="E33" s="48">
        <f>IF($M$2&lt;&gt;"Flat Bar","",IFERROR(INDEX(LET(cat,$E$8:$E$28,box,VSTACK($P$2,$L$7:$L$26),live,UNIQUE(FILTER(VSTACK(cat,box),VSTACK(cat,box)&lt;&gt;"")),FILTER(live,COUNTIF(cat,live)=0)),5),""))</f>
        <v/>
      </c>
      <c r="F33" s="49" t="n"/>
      <c r="G33" s="49">
        <f>$I$3</f>
        <v/>
      </c>
      <c r="H33" s="50">
        <f>IF(F33="","",F33+$I$3)</f>
        <v/>
      </c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16" t="inlineStr"/>
      <c r="B34" s="42" t="inlineStr"/>
      <c r="C34" s="14">
        <f>IF($M$2&lt;&gt;"Flat Bar","",LET(k,IFERROR(INDEX(LET(cat,$E$8:$E$28,box,VSTACK($P$2,$L$7:$L$26),live,UNIQUE(FILTER(VSTACK(cat,box),VSTACK(cat,box)&lt;&gt;"")),FILTER(live,COUNTIF(cat,live)=0)),6),""),t,SUBSTITUTE(SUBSTITUTE(TRIM(k&amp;"")," ",""),"×","x"),IF(OR(k="",ISNUMBER(k)),"",IFERROR(VALUE(LEFT(t,FIND("x",t)-1)),""))))</f>
        <v/>
      </c>
      <c r="D34" s="14">
        <f>IF($M$2&lt;&gt;"Flat Bar","",LET(k,IFERROR(INDEX(LET(cat,$E$8:$E$28,box,VSTACK($P$2,$L$7:$L$26),live,UNIQUE(FILTER(VSTACK(cat,box),VSTACK(cat,box)&lt;&gt;"")),FILTER(live,COUNTIF(cat,live)=0)),6),""),t,SUBSTITUTE(SUBSTITUTE(TRIM(k&amp;"")," ",""),"×","x"),IF(OR(k="",ISNUMBER(k)),"",IFERROR(VALUE(MID(t,FIND("x",t)+1,32)),""))))</f>
        <v/>
      </c>
      <c r="E34" s="43">
        <f>IF($M$2&lt;&gt;"Flat Bar","",IFERROR(INDEX(LET(cat,$E$8:$E$28,box,VSTACK($P$2,$L$7:$L$26),live,UNIQUE(FILTER(VSTACK(cat,box),VSTACK(cat,box)&lt;&gt;"")),FILTER(live,COUNTIF(cat,live)=0)),6),""))</f>
        <v/>
      </c>
      <c r="F34" s="44" t="n"/>
      <c r="G34" s="44">
        <f>$I$3</f>
        <v/>
      </c>
      <c r="H34" s="45">
        <f>IF(F34="","",F34+$I$3)</f>
        <v/>
      </c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0" t="inlineStr"/>
      <c r="B35" s="47" t="inlineStr"/>
      <c r="C35" s="18">
        <f>IF($M$2&lt;&gt;"Flat Bar","",LET(k,IFERROR(INDEX(LET(cat,$E$8:$E$28,box,VSTACK($P$2,$L$7:$L$26),live,UNIQUE(FILTER(VSTACK(cat,box),VSTACK(cat,box)&lt;&gt;"")),FILTER(live,COUNTIF(cat,live)=0)),7),""),t,SUBSTITUTE(SUBSTITUTE(TRIM(k&amp;"")," ",""),"×","x"),IF(OR(k="",ISNUMBER(k)),"",IFERROR(VALUE(LEFT(t,FIND("x",t)-1)),""))))</f>
        <v/>
      </c>
      <c r="D35" s="18">
        <f>IF($M$2&lt;&gt;"Flat Bar","",LET(k,IFERROR(INDEX(LET(cat,$E$8:$E$28,box,VSTACK($P$2,$L$7:$L$26),live,UNIQUE(FILTER(VSTACK(cat,box),VSTACK(cat,box)&lt;&gt;"")),FILTER(live,COUNTIF(cat,live)=0)),7),""),t,SUBSTITUTE(SUBSTITUTE(TRIM(k&amp;"")," ",""),"×","x"),IF(OR(k="",ISNUMBER(k)),"",IFERROR(VALUE(MID(t,FIND("x",t)+1,32)),""))))</f>
        <v/>
      </c>
      <c r="E35" s="48">
        <f>IF($M$2&lt;&gt;"Flat Bar","",IFERROR(INDEX(LET(cat,$E$8:$E$28,box,VSTACK($P$2,$L$7:$L$26),live,UNIQUE(FILTER(VSTACK(cat,box),VSTACK(cat,box)&lt;&gt;"")),FILTER(live,COUNTIF(cat,live)=0)),7),""))</f>
        <v/>
      </c>
      <c r="F35" s="49" t="n"/>
      <c r="G35" s="49">
        <f>$I$3</f>
        <v/>
      </c>
      <c r="H35" s="50">
        <f>IF(F35="","",F35+$I$3)</f>
        <v/>
      </c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16" t="inlineStr"/>
      <c r="B36" s="42" t="inlineStr"/>
      <c r="C36" s="14">
        <f>IF($M$2&lt;&gt;"Flat Bar","",LET(k,IFERROR(INDEX(LET(cat,$E$8:$E$28,box,VSTACK($P$2,$L$7:$L$26),live,UNIQUE(FILTER(VSTACK(cat,box),VSTACK(cat,box)&lt;&gt;"")),FILTER(live,COUNTIF(cat,live)=0)),8),""),t,SUBSTITUTE(SUBSTITUTE(TRIM(k&amp;"")," ",""),"×","x"),IF(OR(k="",ISNUMBER(k)),"",IFERROR(VALUE(LEFT(t,FIND("x",t)-1)),""))))</f>
        <v/>
      </c>
      <c r="D36" s="14">
        <f>IF($M$2&lt;&gt;"Flat Bar","",LET(k,IFERROR(INDEX(LET(cat,$E$8:$E$28,box,VSTACK($P$2,$L$7:$L$26),live,UNIQUE(FILTER(VSTACK(cat,box),VSTACK(cat,box)&lt;&gt;"")),FILTER(live,COUNTIF(cat,live)=0)),8),""),t,SUBSTITUTE(SUBSTITUTE(TRIM(k&amp;"")," ",""),"×","x"),IF(OR(k="",ISNUMBER(k)),"",IFERROR(VALUE(MID(t,FIND("x",t)+1,32)),""))))</f>
        <v/>
      </c>
      <c r="E36" s="43">
        <f>IF($M$2&lt;&gt;"Flat Bar","",IFERROR(INDEX(LET(cat,$E$8:$E$28,box,VSTACK($P$2,$L$7:$L$26),live,UNIQUE(FILTER(VSTACK(cat,box),VSTACK(cat,box)&lt;&gt;"")),FILTER(live,COUNTIF(cat,live)=0)),8),""))</f>
        <v/>
      </c>
      <c r="F36" s="44" t="n"/>
      <c r="G36" s="44">
        <f>$I$3</f>
        <v/>
      </c>
      <c r="H36" s="45">
        <f>IF(F36="","",F36+$I$3)</f>
        <v/>
      </c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0" t="inlineStr"/>
      <c r="B37" s="47" t="inlineStr"/>
      <c r="C37" s="18">
        <f>IF($M$2&lt;&gt;"Flat Bar","",LET(k,IFERROR(INDEX(LET(cat,$E$8:$E$28,box,VSTACK($P$2,$L$7:$L$26),live,UNIQUE(FILTER(VSTACK(cat,box),VSTACK(cat,box)&lt;&gt;"")),FILTER(live,COUNTIF(cat,live)=0)),9),""),t,SUBSTITUTE(SUBSTITUTE(TRIM(k&amp;"")," ",""),"×","x"),IF(OR(k="",ISNUMBER(k)),"",IFERROR(VALUE(LEFT(t,FIND("x",t)-1)),""))))</f>
        <v/>
      </c>
      <c r="D37" s="18">
        <f>IF($M$2&lt;&gt;"Flat Bar","",LET(k,IFERROR(INDEX(LET(cat,$E$8:$E$28,box,VSTACK($P$2,$L$7:$L$26),live,UNIQUE(FILTER(VSTACK(cat,box),VSTACK(cat,box)&lt;&gt;"")),FILTER(live,COUNTIF(cat,live)=0)),9),""),t,SUBSTITUTE(SUBSTITUTE(TRIM(k&amp;"")," ",""),"×","x"),IF(OR(k="",ISNUMBER(k)),"",IFERROR(VALUE(MID(t,FIND("x",t)+1,32)),""))))</f>
        <v/>
      </c>
      <c r="E37" s="48">
        <f>IF($M$2&lt;&gt;"Flat Bar","",IFERROR(INDEX(LET(cat,$E$8:$E$28,box,VSTACK($P$2,$L$7:$L$26),live,UNIQUE(FILTER(VSTACK(cat,box),VSTACK(cat,box)&lt;&gt;"")),FILTER(live,COUNTIF(cat,live)=0)),9),""))</f>
        <v/>
      </c>
      <c r="F37" s="49" t="n"/>
      <c r="G37" s="49">
        <f>$I$3</f>
        <v/>
      </c>
      <c r="H37" s="50">
        <f>IF(F37="","",F37+$I$3)</f>
        <v/>
      </c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16" t="inlineStr"/>
      <c r="B38" s="42" t="inlineStr"/>
      <c r="C38" s="14">
        <f>IF($M$2&lt;&gt;"Flat Bar","",LET(k,IFERROR(INDEX(LET(cat,$E$8:$E$28,box,VSTACK($P$2,$L$7:$L$26),live,UNIQUE(FILTER(VSTACK(cat,box),VSTACK(cat,box)&lt;&gt;"")),FILTER(live,COUNTIF(cat,live)=0)),10),""),t,SUBSTITUTE(SUBSTITUTE(TRIM(k&amp;"")," ",""),"×","x"),IF(OR(k="",ISNUMBER(k)),"",IFERROR(VALUE(LEFT(t,FIND("x",t)-1)),""))))</f>
        <v/>
      </c>
      <c r="D38" s="14">
        <f>IF($M$2&lt;&gt;"Flat Bar","",LET(k,IFERROR(INDEX(LET(cat,$E$8:$E$28,box,VSTACK($P$2,$L$7:$L$26),live,UNIQUE(FILTER(VSTACK(cat,box),VSTACK(cat,box)&lt;&gt;"")),FILTER(live,COUNTIF(cat,live)=0)),10),""),t,SUBSTITUTE(SUBSTITUTE(TRIM(k&amp;"")," ",""),"×","x"),IF(OR(k="",ISNUMBER(k)),"",IFERROR(VALUE(MID(t,FIND("x",t)+1,32)),""))))</f>
        <v/>
      </c>
      <c r="E38" s="43">
        <f>IF($M$2&lt;&gt;"Flat Bar","",IFERROR(INDEX(LET(cat,$E$8:$E$28,box,VSTACK($P$2,$L$7:$L$26),live,UNIQUE(FILTER(VSTACK(cat,box),VSTACK(cat,box)&lt;&gt;"")),FILTER(live,COUNTIF(cat,live)=0)),10),""))</f>
        <v/>
      </c>
      <c r="F38" s="44" t="n"/>
      <c r="G38" s="44">
        <f>$I$3</f>
        <v/>
      </c>
      <c r="H38" s="45">
        <f>IF(F38="","",F38+$I$3)</f>
        <v/>
      </c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0" t="inlineStr"/>
      <c r="B39" s="47" t="inlineStr"/>
      <c r="C39" s="18">
        <f>IF($M$2&lt;&gt;"Flat Bar","",LET(k,IFERROR(INDEX(LET(cat,$E$8:$E$28,box,VSTACK($P$2,$L$7:$L$26),live,UNIQUE(FILTER(VSTACK(cat,box),VSTACK(cat,box)&lt;&gt;"")),FILTER(live,COUNTIF(cat,live)=0)),11),""),t,SUBSTITUTE(SUBSTITUTE(TRIM(k&amp;"")," ",""),"×","x"),IF(OR(k="",ISNUMBER(k)),"",IFERROR(VALUE(LEFT(t,FIND("x",t)-1)),""))))</f>
        <v/>
      </c>
      <c r="D39" s="18">
        <f>IF($M$2&lt;&gt;"Flat Bar","",LET(k,IFERROR(INDEX(LET(cat,$E$8:$E$28,box,VSTACK($P$2,$L$7:$L$26),live,UNIQUE(FILTER(VSTACK(cat,box),VSTACK(cat,box)&lt;&gt;"")),FILTER(live,COUNTIF(cat,live)=0)),11),""),t,SUBSTITUTE(SUBSTITUTE(TRIM(k&amp;"")," ",""),"×","x"),IF(OR(k="",ISNUMBER(k)),"",IFERROR(VALUE(MID(t,FIND("x",t)+1,32)),""))))</f>
        <v/>
      </c>
      <c r="E39" s="48">
        <f>IF($M$2&lt;&gt;"Flat Bar","",IFERROR(INDEX(LET(cat,$E$8:$E$28,box,VSTACK($P$2,$L$7:$L$26),live,UNIQUE(FILTER(VSTACK(cat,box),VSTACK(cat,box)&lt;&gt;"")),FILTER(live,COUNTIF(cat,live)=0)),11),""))</f>
        <v/>
      </c>
      <c r="F39" s="49" t="n"/>
      <c r="G39" s="49">
        <f>$I$3</f>
        <v/>
      </c>
      <c r="H39" s="50">
        <f>IF(F39="","",F39+$I$3)</f>
        <v/>
      </c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16" t="inlineStr"/>
      <c r="B40" s="42" t="inlineStr"/>
      <c r="C40" s="14">
        <f>IF($M$2&lt;&gt;"Flat Bar","",LET(k,IFERROR(INDEX(LET(cat,$E$8:$E$28,box,VSTACK($P$2,$L$7:$L$26),live,UNIQUE(FILTER(VSTACK(cat,box),VSTACK(cat,box)&lt;&gt;"")),FILTER(live,COUNTIF(cat,live)=0)),12),""),t,SUBSTITUTE(SUBSTITUTE(TRIM(k&amp;"")," ",""),"×","x"),IF(OR(k="",ISNUMBER(k)),"",IFERROR(VALUE(LEFT(t,FIND("x",t)-1)),""))))</f>
        <v/>
      </c>
      <c r="D40" s="14">
        <f>IF($M$2&lt;&gt;"Flat Bar","",LET(k,IFERROR(INDEX(LET(cat,$E$8:$E$28,box,VSTACK($P$2,$L$7:$L$26),live,UNIQUE(FILTER(VSTACK(cat,box),VSTACK(cat,box)&lt;&gt;"")),FILTER(live,COUNTIF(cat,live)=0)),12),""),t,SUBSTITUTE(SUBSTITUTE(TRIM(k&amp;"")," ",""),"×","x"),IF(OR(k="",ISNUMBER(k)),"",IFERROR(VALUE(MID(t,FIND("x",t)+1,32)),""))))</f>
        <v/>
      </c>
      <c r="E40" s="43">
        <f>IF($M$2&lt;&gt;"Flat Bar","",IFERROR(INDEX(LET(cat,$E$8:$E$28,box,VSTACK($P$2,$L$7:$L$26),live,UNIQUE(FILTER(VSTACK(cat,box),VSTACK(cat,box)&lt;&gt;"")),FILTER(live,COUNTIF(cat,live)=0)),12),""))</f>
        <v/>
      </c>
      <c r="F40" s="44" t="n"/>
      <c r="G40" s="44">
        <f>$I$3</f>
        <v/>
      </c>
      <c r="H40" s="45">
        <f>IF(F40="","",F40+$I$3)</f>
        <v/>
      </c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0" t="inlineStr"/>
      <c r="B41" s="47" t="inlineStr"/>
      <c r="C41" s="18">
        <f>IF($M$2&lt;&gt;"Flat Bar","",LET(k,IFERROR(INDEX(LET(cat,$E$8:$E$28,box,VSTACK($P$2,$L$7:$L$26),live,UNIQUE(FILTER(VSTACK(cat,box),VSTACK(cat,box)&lt;&gt;"")),FILTER(live,COUNTIF(cat,live)=0)),13),""),t,SUBSTITUTE(SUBSTITUTE(TRIM(k&amp;"")," ",""),"×","x"),IF(OR(k="",ISNUMBER(k)),"",IFERROR(VALUE(LEFT(t,FIND("x",t)-1)),""))))</f>
        <v/>
      </c>
      <c r="D41" s="18">
        <f>IF($M$2&lt;&gt;"Flat Bar","",LET(k,IFERROR(INDEX(LET(cat,$E$8:$E$28,box,VSTACK($P$2,$L$7:$L$26),live,UNIQUE(FILTER(VSTACK(cat,box),VSTACK(cat,box)&lt;&gt;"")),FILTER(live,COUNTIF(cat,live)=0)),13),""),t,SUBSTITUTE(SUBSTITUTE(TRIM(k&amp;"")," ",""),"×","x"),IF(OR(k="",ISNUMBER(k)),"",IFERROR(VALUE(MID(t,FIND("x",t)+1,32)),""))))</f>
        <v/>
      </c>
      <c r="E41" s="48">
        <f>IF($M$2&lt;&gt;"Flat Bar","",IFERROR(INDEX(LET(cat,$E$8:$E$28,box,VSTACK($P$2,$L$7:$L$26),live,UNIQUE(FILTER(VSTACK(cat,box),VSTACK(cat,box)&lt;&gt;"")),FILTER(live,COUNTIF(cat,live)=0)),13),""))</f>
        <v/>
      </c>
      <c r="F41" s="49" t="n"/>
      <c r="G41" s="49">
        <f>$I$3</f>
        <v/>
      </c>
      <c r="H41" s="50">
        <f>IF(F41="","",F41+$I$3)</f>
        <v/>
      </c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16" t="inlineStr"/>
      <c r="B42" s="42" t="inlineStr"/>
      <c r="C42" s="14">
        <f>IF($M$2&lt;&gt;"Flat Bar","",LET(k,IFERROR(INDEX(LET(cat,$E$8:$E$28,box,VSTACK($P$2,$L$7:$L$26),live,UNIQUE(FILTER(VSTACK(cat,box),VSTACK(cat,box)&lt;&gt;"")),FILTER(live,COUNTIF(cat,live)=0)),14),""),t,SUBSTITUTE(SUBSTITUTE(TRIM(k&amp;"")," ",""),"×","x"),IF(OR(k="",ISNUMBER(k)),"",IFERROR(VALUE(LEFT(t,FIND("x",t)-1)),""))))</f>
        <v/>
      </c>
      <c r="D42" s="14">
        <f>IF($M$2&lt;&gt;"Flat Bar","",LET(k,IFERROR(INDEX(LET(cat,$E$8:$E$28,box,VSTACK($P$2,$L$7:$L$26),live,UNIQUE(FILTER(VSTACK(cat,box),VSTACK(cat,box)&lt;&gt;"")),FILTER(live,COUNTIF(cat,live)=0)),14),""),t,SUBSTITUTE(SUBSTITUTE(TRIM(k&amp;"")," ",""),"×","x"),IF(OR(k="",ISNUMBER(k)),"",IFERROR(VALUE(MID(t,FIND("x",t)+1,32)),""))))</f>
        <v/>
      </c>
      <c r="E42" s="43">
        <f>IF($M$2&lt;&gt;"Flat Bar","",IFERROR(INDEX(LET(cat,$E$8:$E$28,box,VSTACK($P$2,$L$7:$L$26),live,UNIQUE(FILTER(VSTACK(cat,box),VSTACK(cat,box)&lt;&gt;"")),FILTER(live,COUNTIF(cat,live)=0)),14),""))</f>
        <v/>
      </c>
      <c r="F42" s="44" t="n"/>
      <c r="G42" s="44">
        <f>$I$3</f>
        <v/>
      </c>
      <c r="H42" s="45">
        <f>IF(F42="","",F42+$I$3)</f>
        <v/>
      </c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0" t="inlineStr"/>
      <c r="B43" s="47" t="inlineStr"/>
      <c r="C43" s="18">
        <f>IF($M$2&lt;&gt;"Flat Bar","",LET(k,IFERROR(INDEX(LET(cat,$E$8:$E$28,box,VSTACK($P$2,$L$7:$L$26),live,UNIQUE(FILTER(VSTACK(cat,box),VSTACK(cat,box)&lt;&gt;"")),FILTER(live,COUNTIF(cat,live)=0)),15),""),t,SUBSTITUTE(SUBSTITUTE(TRIM(k&amp;"")," ",""),"×","x"),IF(OR(k="",ISNUMBER(k)),"",IFERROR(VALUE(LEFT(t,FIND("x",t)-1)),""))))</f>
        <v/>
      </c>
      <c r="D43" s="18">
        <f>IF($M$2&lt;&gt;"Flat Bar","",LET(k,IFERROR(INDEX(LET(cat,$E$8:$E$28,box,VSTACK($P$2,$L$7:$L$26),live,UNIQUE(FILTER(VSTACK(cat,box),VSTACK(cat,box)&lt;&gt;"")),FILTER(live,COUNTIF(cat,live)=0)),15),""),t,SUBSTITUTE(SUBSTITUTE(TRIM(k&amp;"")," ",""),"×","x"),IF(OR(k="",ISNUMBER(k)),"",IFERROR(VALUE(MID(t,FIND("x",t)+1,32)),""))))</f>
        <v/>
      </c>
      <c r="E43" s="48">
        <f>IF($M$2&lt;&gt;"Flat Bar","",IFERROR(INDEX(LET(cat,$E$8:$E$28,box,VSTACK($P$2,$L$7:$L$26),live,UNIQUE(FILTER(VSTACK(cat,box),VSTACK(cat,box)&lt;&gt;"")),FILTER(live,COUNTIF(cat,live)=0)),15),""))</f>
        <v/>
      </c>
      <c r="F43" s="49" t="n"/>
      <c r="G43" s="49">
        <f>$I$3</f>
        <v/>
      </c>
      <c r="H43" s="50">
        <f>IF(F43="","",F43+$I$3)</f>
        <v/>
      </c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16" t="inlineStr"/>
      <c r="B44" s="42" t="inlineStr"/>
      <c r="C44" s="14">
        <f>IF($M$2&lt;&gt;"Flat Bar","",LET(k,IFERROR(INDEX(LET(cat,$E$8:$E$28,box,VSTACK($P$2,$L$7:$L$26),live,UNIQUE(FILTER(VSTACK(cat,box),VSTACK(cat,box)&lt;&gt;"")),FILTER(live,COUNTIF(cat,live)=0)),16),""),t,SUBSTITUTE(SUBSTITUTE(TRIM(k&amp;"")," ",""),"×","x"),IF(OR(k="",ISNUMBER(k)),"",IFERROR(VALUE(LEFT(t,FIND("x",t)-1)),""))))</f>
        <v/>
      </c>
      <c r="D44" s="14">
        <f>IF($M$2&lt;&gt;"Flat Bar","",LET(k,IFERROR(INDEX(LET(cat,$E$8:$E$28,box,VSTACK($P$2,$L$7:$L$26),live,UNIQUE(FILTER(VSTACK(cat,box),VSTACK(cat,box)&lt;&gt;"")),FILTER(live,COUNTIF(cat,live)=0)),16),""),t,SUBSTITUTE(SUBSTITUTE(TRIM(k&amp;"")," ",""),"×","x"),IF(OR(k="",ISNUMBER(k)),"",IFERROR(VALUE(MID(t,FIND("x",t)+1,32)),""))))</f>
        <v/>
      </c>
      <c r="E44" s="43">
        <f>IF($M$2&lt;&gt;"Flat Bar","",IFERROR(INDEX(LET(cat,$E$8:$E$28,box,VSTACK($P$2,$L$7:$L$26),live,UNIQUE(FILTER(VSTACK(cat,box),VSTACK(cat,box)&lt;&gt;"")),FILTER(live,COUNTIF(cat,live)=0)),16),""))</f>
        <v/>
      </c>
      <c r="F44" s="44" t="n"/>
      <c r="G44" s="44">
        <f>$I$3</f>
        <v/>
      </c>
      <c r="H44" s="45">
        <f>IF(F44="","",F44+$I$3)</f>
        <v/>
      </c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0" t="inlineStr"/>
      <c r="B45" s="47" t="inlineStr"/>
      <c r="C45" s="18">
        <f>IF($M$2&lt;&gt;"Flat Bar","",LET(k,IFERROR(INDEX(LET(cat,$E$8:$E$28,box,VSTACK($P$2,$L$7:$L$26),live,UNIQUE(FILTER(VSTACK(cat,box),VSTACK(cat,box)&lt;&gt;"")),FILTER(live,COUNTIF(cat,live)=0)),17),""),t,SUBSTITUTE(SUBSTITUTE(TRIM(k&amp;"")," ",""),"×","x"),IF(OR(k="",ISNUMBER(k)),"",IFERROR(VALUE(LEFT(t,FIND("x",t)-1)),""))))</f>
        <v/>
      </c>
      <c r="D45" s="18">
        <f>IF($M$2&lt;&gt;"Flat Bar","",LET(k,IFERROR(INDEX(LET(cat,$E$8:$E$28,box,VSTACK($P$2,$L$7:$L$26),live,UNIQUE(FILTER(VSTACK(cat,box),VSTACK(cat,box)&lt;&gt;"")),FILTER(live,COUNTIF(cat,live)=0)),17),""),t,SUBSTITUTE(SUBSTITUTE(TRIM(k&amp;"")," ",""),"×","x"),IF(OR(k="",ISNUMBER(k)),"",IFERROR(VALUE(MID(t,FIND("x",t)+1,32)),""))))</f>
        <v/>
      </c>
      <c r="E45" s="48">
        <f>IF($M$2&lt;&gt;"Flat Bar","",IFERROR(INDEX(LET(cat,$E$8:$E$28,box,VSTACK($P$2,$L$7:$L$26),live,UNIQUE(FILTER(VSTACK(cat,box),VSTACK(cat,box)&lt;&gt;"")),FILTER(live,COUNTIF(cat,live)=0)),17),""))</f>
        <v/>
      </c>
      <c r="F45" s="49" t="n"/>
      <c r="G45" s="49">
        <f>$I$3</f>
        <v/>
      </c>
      <c r="H45" s="50">
        <f>IF(F45="","",F45+$I$3)</f>
        <v/>
      </c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16" t="inlineStr"/>
      <c r="B46" s="42" t="inlineStr"/>
      <c r="C46" s="14">
        <f>IF($M$2&lt;&gt;"Flat Bar","",LET(k,IFERROR(INDEX(LET(cat,$E$8:$E$28,box,VSTACK($P$2,$L$7:$L$26),live,UNIQUE(FILTER(VSTACK(cat,box),VSTACK(cat,box)&lt;&gt;"")),FILTER(live,COUNTIF(cat,live)=0)),18),""),t,SUBSTITUTE(SUBSTITUTE(TRIM(k&amp;"")," ",""),"×","x"),IF(OR(k="",ISNUMBER(k)),"",IFERROR(VALUE(LEFT(t,FIND("x",t)-1)),""))))</f>
        <v/>
      </c>
      <c r="D46" s="14">
        <f>IF($M$2&lt;&gt;"Flat Bar","",LET(k,IFERROR(INDEX(LET(cat,$E$8:$E$28,box,VSTACK($P$2,$L$7:$L$26),live,UNIQUE(FILTER(VSTACK(cat,box),VSTACK(cat,box)&lt;&gt;"")),FILTER(live,COUNTIF(cat,live)=0)),18),""),t,SUBSTITUTE(SUBSTITUTE(TRIM(k&amp;"")," ",""),"×","x"),IF(OR(k="",ISNUMBER(k)),"",IFERROR(VALUE(MID(t,FIND("x",t)+1,32)),""))))</f>
        <v/>
      </c>
      <c r="E46" s="43">
        <f>IF($M$2&lt;&gt;"Flat Bar","",IFERROR(INDEX(LET(cat,$E$8:$E$28,box,VSTACK($P$2,$L$7:$L$26),live,UNIQUE(FILTER(VSTACK(cat,box),VSTACK(cat,box)&lt;&gt;"")),FILTER(live,COUNTIF(cat,live)=0)),18),""))</f>
        <v/>
      </c>
      <c r="F46" s="44" t="n"/>
      <c r="G46" s="44">
        <f>$I$3</f>
        <v/>
      </c>
      <c r="H46" s="45">
        <f>IF(F46="","",F46+$I$3)</f>
        <v/>
      </c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0" t="inlineStr"/>
      <c r="B47" s="47" t="inlineStr"/>
      <c r="C47" s="18">
        <f>IF($M$2&lt;&gt;"Flat Bar","",LET(k,IFERROR(INDEX(LET(cat,$E$8:$E$28,box,VSTACK($P$2,$L$7:$L$26),live,UNIQUE(FILTER(VSTACK(cat,box),VSTACK(cat,box)&lt;&gt;"")),FILTER(live,COUNTIF(cat,live)=0)),19),""),t,SUBSTITUTE(SUBSTITUTE(TRIM(k&amp;"")," ",""),"×","x"),IF(OR(k="",ISNUMBER(k)),"",IFERROR(VALUE(LEFT(t,FIND("x",t)-1)),""))))</f>
        <v/>
      </c>
      <c r="D47" s="18">
        <f>IF($M$2&lt;&gt;"Flat Bar","",LET(k,IFERROR(INDEX(LET(cat,$E$8:$E$28,box,VSTACK($P$2,$L$7:$L$26),live,UNIQUE(FILTER(VSTACK(cat,box),VSTACK(cat,box)&lt;&gt;"")),FILTER(live,COUNTIF(cat,live)=0)),19),""),t,SUBSTITUTE(SUBSTITUTE(TRIM(k&amp;"")," ",""),"×","x"),IF(OR(k="",ISNUMBER(k)),"",IFERROR(VALUE(MID(t,FIND("x",t)+1,32)),""))))</f>
        <v/>
      </c>
      <c r="E47" s="48">
        <f>IF($M$2&lt;&gt;"Flat Bar","",IFERROR(INDEX(LET(cat,$E$8:$E$28,box,VSTACK($P$2,$L$7:$L$26),live,UNIQUE(FILTER(VSTACK(cat,box),VSTACK(cat,box)&lt;&gt;"")),FILTER(live,COUNTIF(cat,live)=0)),19),""))</f>
        <v/>
      </c>
      <c r="F47" s="49" t="n"/>
      <c r="G47" s="49">
        <f>$I$3</f>
        <v/>
      </c>
      <c r="H47" s="50">
        <f>IF(F47="","",F47+$I$3)</f>
        <v/>
      </c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16" t="inlineStr"/>
      <c r="B48" s="42" t="inlineStr"/>
      <c r="C48" s="14">
        <f>IF($M$2&lt;&gt;"Flat Bar","",LET(k,IFERROR(INDEX(LET(cat,$E$8:$E$28,box,VSTACK($P$2,$L$7:$L$26),live,UNIQUE(FILTER(VSTACK(cat,box),VSTACK(cat,box)&lt;&gt;"")),FILTER(live,COUNTIF(cat,live)=0)),20),""),t,SUBSTITUTE(SUBSTITUTE(TRIM(k&amp;"")," ",""),"×","x"),IF(OR(k="",ISNUMBER(k)),"",IFERROR(VALUE(LEFT(t,FIND("x",t)-1)),""))))</f>
        <v/>
      </c>
      <c r="D48" s="14">
        <f>IF($M$2&lt;&gt;"Flat Bar","",LET(k,IFERROR(INDEX(LET(cat,$E$8:$E$28,box,VSTACK($P$2,$L$7:$L$26),live,UNIQUE(FILTER(VSTACK(cat,box),VSTACK(cat,box)&lt;&gt;"")),FILTER(live,COUNTIF(cat,live)=0)),20),""),t,SUBSTITUTE(SUBSTITUTE(TRIM(k&amp;"")," ",""),"×","x"),IF(OR(k="",ISNUMBER(k)),"",IFERROR(VALUE(MID(t,FIND("x",t)+1,32)),""))))</f>
        <v/>
      </c>
      <c r="E48" s="43">
        <f>IF($M$2&lt;&gt;"Flat Bar","",IFERROR(INDEX(LET(cat,$E$8:$E$28,box,VSTACK($P$2,$L$7:$L$26),live,UNIQUE(FILTER(VSTACK(cat,box),VSTACK(cat,box)&lt;&gt;"")),FILTER(live,COUNTIF(cat,live)=0)),20),""))</f>
        <v/>
      </c>
      <c r="F48" s="44" t="n"/>
      <c r="G48" s="44">
        <f>$I$3</f>
        <v/>
      </c>
      <c r="H48" s="45">
        <f>IF(F48="","",F48+$I$3)</f>
        <v/>
      </c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</sheetData>
  <mergeCells count="15">
    <mergeCell ref="H1:J1"/>
    <mergeCell ref="N3:O3"/>
    <mergeCell ref="A1:G1"/>
    <mergeCell ref="A3:G3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6:H6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Brass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Rod, Hex, Square, Flat, Sheet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Copper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EC Grade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Aluminium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HE30 / 6802 Grade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304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304L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316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316L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321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410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420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430F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431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440C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P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4" customWidth="1" min="3" max="3"/>
    <col width="16" customWidth="1" min="4" max="4"/>
    <col width="16" customWidth="1" min="5" max="5"/>
    <col width="18" customWidth="1" min="6" max="6"/>
    <col width="16" customWidth="1" min="7" max="7"/>
    <col width="22" customWidth="1" min="8" max="8"/>
    <col width="14" customWidth="1" min="9" max="9"/>
    <col width="14" customWidth="1" min="10" max="10"/>
    <col width="3" customWidth="1" min="11" max="11"/>
    <col width="22" customWidth="1" min="12" max="12"/>
    <col width="16" customWidth="1" min="13" max="13"/>
    <col width="16" customWidth="1" min="14" max="14"/>
    <col width="14" customWidth="1" min="15" max="15"/>
    <col width="18" customWidth="1" min="16" max="16"/>
  </cols>
  <sheetData>
    <row r="1" ht="20" customHeight="1">
      <c r="A1" s="23" t="inlineStr">
        <is>
          <t>JAGETIYA METALS  ·  +91-9824012344  ·  Kamlesh@jkmetal.in  ·  GST 24AGIPS3207M1Z7</t>
        </is>
      </c>
      <c r="B1" s="23" t="n"/>
      <c r="C1" s="23" t="n"/>
      <c r="D1" s="23" t="n"/>
      <c r="E1" s="23" t="n"/>
      <c r="F1" s="23" t="n"/>
      <c r="G1" s="23" t="n"/>
      <c r="H1" s="6" t="inlineStr">
        <is>
          <t>DAILY ADJUSTMENT (Rs/kg)</t>
        </is>
      </c>
      <c r="I1" s="6" t="n"/>
      <c r="J1" s="6" t="n"/>
      <c r="K1" s="2" t="n"/>
      <c r="L1" s="24" t="inlineStr">
        <is>
          <t>ADD SIZE</t>
        </is>
      </c>
      <c r="M1" s="24" t="n"/>
      <c r="N1" s="24" t="n"/>
      <c r="O1" s="24" t="n"/>
      <c r="P1" s="25" t="inlineStr">
        <is>
          <t>Size key (auto)</t>
        </is>
      </c>
    </row>
    <row r="2" ht="32" customHeight="1">
      <c r="A2" s="26" t="inlineStr">
        <is>
          <t>SS 17-4-PH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7" t="inlineStr">
        <is>
          <t>Shape</t>
        </is>
      </c>
      <c r="M2" s="28" t="inlineStr">
        <is>
          <t>Non-Ferrous</t>
        </is>
      </c>
      <c r="N2" s="29" t="inlineStr">
        <is>
          <t>Adds into that shape section on this sheet.</t>
        </is>
      </c>
      <c r="O2" s="29" t="n"/>
      <c r="P2" s="28">
        <f>IFERROR(IF($M$2="Flat Bar",IF(OR($M$4="",$O$4=""),"",TEXT(IF(ISNUMBER($M$4),$M$4,VALUE($M$4)),"0.######")&amp;"x"&amp;TEXT(IF(ISNUMBER($O$4),$O$4,VALUE($O$4)),"0.######")),IF($M$2="Square Bar",IF($M$4="","",IF($O$4="",IF(ISNUMBER($M$4),$M$4,VALUE($M$4)),TEXT(IF(ISNUMBER($M$4),$M$4,VALUE($M$4)),"0.######")&amp;"x"&amp;TEXT(IF(ISNUMBER($O$4),$O$4,VALUE($O$4)),"0.######"))),IF(OR($M$2="Round Bar",$M$2="Hex Bar",$M$2="Non-Ferrous"),IF($M$3="","",IF(ISNUMBER($M$3),$M$3,VALUE($M$3))),""))),"")</f>
        <v/>
      </c>
    </row>
    <row r="3" ht="28" customHeight="1">
      <c r="A3" s="7" t="inlineStr">
        <is>
          <t>Shapes on this sheet: Non-Ferrous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7" t="inlineStr">
        <is>
          <t>SIZE (mm)</t>
        </is>
      </c>
      <c r="M3" s="30" t="n"/>
      <c r="N3" s="31">
        <f>IF(OR($M$2="Round Bar",$M$2="Hex Bar",$M$2="Non-Ferrous"),"1D: fill SIZE only, then press Enter.","Leave SIZE blank — use Thickness and Width.")</f>
        <v/>
      </c>
      <c r="O3" s="31" t="n"/>
      <c r="P3" s="32" t="inlineStr">
        <is>
          <t>Press Enter after filling dimensions; the size appears in the list if it is new.</t>
        </is>
      </c>
    </row>
    <row r="4" ht="28" customHeight="1">
      <c r="A4" s="33" t="inlineStr">
        <is>
          <t>← Back to Products index</t>
        </is>
      </c>
      <c r="B4" s="22" t="inlineStr">
        <is>
          <t>Enter base prices in each shape section. Selling Price follows I3 for every size on this sheet. Add sizes with the green box — they append to the selected shape section.</t>
        </is>
      </c>
      <c r="C4" s="22" t="n"/>
      <c r="D4" s="22" t="n"/>
      <c r="E4" s="22" t="n"/>
      <c r="F4" s="22" t="n"/>
      <c r="G4" s="22" t="n"/>
      <c r="H4" s="35" t="inlineStr">
        <is>
          <t>Selling Price = Base Price + this box. Change 1 to 3 and all sizes use +3 (not compounding).</t>
        </is>
      </c>
      <c r="I4" s="35" t="n"/>
      <c r="J4" s="35" t="n"/>
      <c r="K4" s="2" t="n"/>
      <c r="L4" s="27" t="inlineStr">
        <is>
          <t>THICKNESS (mm)</t>
        </is>
      </c>
      <c r="M4" s="30" t="n"/>
      <c r="N4" s="27" t="inlineStr">
        <is>
          <t>WIDTH (mm)</t>
        </is>
      </c>
      <c r="O4" s="30" t="n"/>
      <c r="P4" s="32" t="n"/>
    </row>
    <row r="5">
      <c r="A5" s="22" t="inlineStr">
        <is>
          <t>Daily Adjustment (I3) applies to all shapes below. Sub-type and make stay on the same sheet (example: EN-8D Rolled vs Rod).</t>
        </is>
      </c>
      <c r="B5" s="22" t="n"/>
      <c r="C5" s="22" t="n"/>
      <c r="D5" s="22" t="n"/>
      <c r="E5" s="22" t="n"/>
      <c r="F5" s="22" t="n"/>
      <c r="G5" s="22" t="n"/>
      <c r="H5" s="2" t="n"/>
      <c r="I5" s="2" t="n"/>
      <c r="J5" s="2" t="n"/>
      <c r="K5" s="2" t="n"/>
      <c r="L5" s="36" t="inlineStr">
        <is>
          <t>Status</t>
        </is>
      </c>
      <c r="M5" s="37">
        <f>IF($P$2="","Fill the fields for this shape",IF($M$2="Non-Ferrous",IF(OR(COUNTIF($C$8:$C$8,$P$2)&gt;0,COUNTIF($L$7:$L$26,$P$2)&gt;0),"Already added — skipped","Added"),"Pick a shape that exists on this sheet"))</f>
        <v/>
      </c>
      <c r="N5" s="37" t="n"/>
      <c r="O5" s="37" t="n"/>
      <c r="P5" s="32" t="n"/>
    </row>
    <row r="6" ht="22" customHeight="1">
      <c r="A6" s="38" t="inlineStr">
        <is>
          <t>NON-FERROUS</t>
        </is>
      </c>
      <c r="B6" s="38" t="n"/>
      <c r="C6" s="38" t="n"/>
      <c r="D6" s="38" t="n"/>
      <c r="E6" s="38" t="n"/>
      <c r="F6" s="38" t="n"/>
      <c r="G6" s="38" t="n"/>
      <c r="H6" s="2" t="n"/>
      <c r="I6" s="2" t="n"/>
      <c r="J6" s="2" t="n"/>
      <c r="K6" s="2" t="n"/>
      <c r="L6" s="39" t="inlineStr">
        <is>
          <t>More sizes (optional) — type 25 or 6x25, one per row</t>
        </is>
      </c>
      <c r="M6" s="39" t="n"/>
      <c r="N6" s="39" t="n"/>
      <c r="O6" s="39" t="n"/>
      <c r="P6" s="2" t="n"/>
    </row>
    <row r="7" ht="22" customHeight="1">
      <c r="A7" s="13" t="inlineStr">
        <is>
          <t>Sub-type</t>
        </is>
      </c>
      <c r="B7" s="13" t="inlineStr">
        <is>
          <t>Make / notes</t>
        </is>
      </c>
      <c r="C7" s="13" t="inlineStr">
        <is>
          <t>Size (mm)</t>
        </is>
      </c>
      <c r="D7" s="13" t="inlineStr">
        <is>
          <t>Base Price (Rs/kg)</t>
        </is>
      </c>
      <c r="E7" s="13" t="inlineStr">
        <is>
          <t>Daily Adj</t>
        </is>
      </c>
      <c r="F7" s="13" t="inlineStr">
        <is>
          <t>Selling Price (Rs/kg)</t>
        </is>
      </c>
      <c r="G7" s="13" t="inlineStr">
        <is>
          <t>Notes</t>
        </is>
      </c>
      <c r="H7" s="2" t="n"/>
      <c r="I7" s="2" t="n"/>
      <c r="J7" s="2" t="n"/>
      <c r="K7" s="2" t="n"/>
      <c r="L7" s="40" t="n"/>
      <c r="M7" s="41" t="inlineStr">
        <is>
          <t>UNIQUE skips duplicates (25 = 25.0, 6x25 = 6 x 25)</t>
        </is>
      </c>
      <c r="N7" s="2" t="n"/>
      <c r="O7" s="2" t="n"/>
      <c r="P7" s="2" t="n"/>
    </row>
    <row r="8">
      <c r="A8" s="16" t="inlineStr">
        <is>
          <t>Stainless Steel Rod</t>
        </is>
      </c>
      <c r="B8" s="42" t="inlineStr">
        <is>
          <t>Available — add sizes with the green Add Size box (this Non-Ferrous section)</t>
        </is>
      </c>
      <c r="C8" s="43" t="inlineStr"/>
      <c r="D8" s="44" t="n"/>
      <c r="E8" s="44">
        <f>$I$3</f>
        <v/>
      </c>
      <c r="F8" s="45">
        <f>IF(D8="","",D8+$I$3)</f>
        <v/>
      </c>
      <c r="G8" s="46" t="inlineStr">
        <is>
          <t>Catalog placeholder — use Add Size for new sizes</t>
        </is>
      </c>
      <c r="H8" s="2" t="n"/>
      <c r="I8" s="2" t="n"/>
      <c r="J8" s="2" t="n"/>
      <c r="K8" s="2" t="n"/>
      <c r="L8" s="40" t="n"/>
      <c r="M8" s="2" t="n"/>
      <c r="N8" s="2" t="n"/>
      <c r="O8" s="2" t="n"/>
      <c r="P8" s="2" t="n"/>
    </row>
    <row r="9">
      <c r="A9" s="20" t="inlineStr"/>
      <c r="B9" s="47" t="inlineStr"/>
      <c r="C9" s="48">
        <f>IF($M$2&lt;&gt;"Non-Ferrous","",IFERROR(INDEX(LET(cat,$C$8:$C$8,box,VSTACK($P$2,$L$7:$L$26),live,UNIQUE(FILTER(VSTACK(cat,box),VSTACK(cat,box)&lt;&gt;"")),FILTER(live,COUNTIF(cat,live)=0)),1),""))</f>
        <v/>
      </c>
      <c r="D9" s="49" t="n"/>
      <c r="E9" s="49">
        <f>$I$3</f>
        <v/>
      </c>
      <c r="F9" s="50">
        <f>IF(D9="","",D9+$I$3)</f>
        <v/>
      </c>
      <c r="G9" s="51" t="inlineStr">
        <is>
          <t>New size from Add Size — type a base price; selling uses $I$3</t>
        </is>
      </c>
      <c r="H9" s="2" t="n"/>
      <c r="I9" s="2" t="n"/>
      <c r="J9" s="2" t="n"/>
      <c r="K9" s="2" t="n"/>
      <c r="L9" s="40" t="n"/>
      <c r="M9" s="2" t="n"/>
      <c r="N9" s="2" t="n"/>
      <c r="O9" s="2" t="n"/>
      <c r="P9" s="2" t="n"/>
    </row>
    <row r="10">
      <c r="A10" s="16" t="inlineStr"/>
      <c r="B10" s="42" t="inlineStr"/>
      <c r="C10" s="43">
        <f>IF($M$2&lt;&gt;"Non-Ferrous","",IFERROR(INDEX(LET(cat,$C$8:$C$8,box,VSTACK($P$2,$L$7:$L$26),live,UNIQUE(FILTER(VSTACK(cat,box),VSTACK(cat,box)&lt;&gt;"")),FILTER(live,COUNTIF(cat,live)=0)),2),""))</f>
        <v/>
      </c>
      <c r="D10" s="44" t="n"/>
      <c r="E10" s="44">
        <f>$I$3</f>
        <v/>
      </c>
      <c r="F10" s="45">
        <f>IF(D10="","",D10+$I$3)</f>
        <v/>
      </c>
      <c r="G10" s="42" t="inlineStr"/>
      <c r="H10" s="2" t="n"/>
      <c r="I10" s="2" t="n"/>
      <c r="J10" s="2" t="n"/>
      <c r="K10" s="2" t="n"/>
      <c r="L10" s="40" t="n"/>
      <c r="M10" s="2" t="n"/>
      <c r="N10" s="2" t="n"/>
      <c r="O10" s="2" t="n"/>
      <c r="P10" s="2" t="n"/>
    </row>
    <row r="11">
      <c r="A11" s="20" t="inlineStr"/>
      <c r="B11" s="47" t="inlineStr"/>
      <c r="C11" s="48">
        <f>IF($M$2&lt;&gt;"Non-Ferrous","",IFERROR(INDEX(LET(cat,$C$8:$C$8,box,VSTACK($P$2,$L$7:$L$26),live,UNIQUE(FILTER(VSTACK(cat,box),VSTACK(cat,box)&lt;&gt;"")),FILTER(live,COUNTIF(cat,live)=0)),3),""))</f>
        <v/>
      </c>
      <c r="D11" s="49" t="n"/>
      <c r="E11" s="49">
        <f>$I$3</f>
        <v/>
      </c>
      <c r="F11" s="50">
        <f>IF(D11="","",D11+$I$3)</f>
        <v/>
      </c>
      <c r="G11" s="47" t="inlineStr"/>
      <c r="H11" s="2" t="n"/>
      <c r="I11" s="2" t="n"/>
      <c r="J11" s="2" t="n"/>
      <c r="K11" s="2" t="n"/>
      <c r="L11" s="40" t="n"/>
      <c r="M11" s="2" t="n"/>
      <c r="N11" s="2" t="n"/>
      <c r="O11" s="2" t="n"/>
      <c r="P11" s="2" t="n"/>
    </row>
    <row r="12">
      <c r="A12" s="16" t="inlineStr"/>
      <c r="B12" s="42" t="inlineStr"/>
      <c r="C12" s="43">
        <f>IF($M$2&lt;&gt;"Non-Ferrous","",IFERROR(INDEX(LET(cat,$C$8:$C$8,box,VSTACK($P$2,$L$7:$L$26),live,UNIQUE(FILTER(VSTACK(cat,box),VSTACK(cat,box)&lt;&gt;"")),FILTER(live,COUNTIF(cat,live)=0)),4),""))</f>
        <v/>
      </c>
      <c r="D12" s="44" t="n"/>
      <c r="E12" s="44">
        <f>$I$3</f>
        <v/>
      </c>
      <c r="F12" s="45">
        <f>IF(D12="","",D12+$I$3)</f>
        <v/>
      </c>
      <c r="G12" s="42" t="inlineStr"/>
      <c r="H12" s="2" t="n"/>
      <c r="I12" s="2" t="n"/>
      <c r="J12" s="2" t="n"/>
      <c r="K12" s="2" t="n"/>
      <c r="L12" s="40" t="n"/>
      <c r="M12" s="2" t="n"/>
      <c r="N12" s="2" t="n"/>
      <c r="O12" s="2" t="n"/>
      <c r="P12" s="2" t="n"/>
    </row>
    <row r="13">
      <c r="A13" s="20" t="inlineStr"/>
      <c r="B13" s="47" t="inlineStr"/>
      <c r="C13" s="48">
        <f>IF($M$2&lt;&gt;"Non-Ferrous","",IFERROR(INDEX(LET(cat,$C$8:$C$8,box,VSTACK($P$2,$L$7:$L$26),live,UNIQUE(FILTER(VSTACK(cat,box),VSTACK(cat,box)&lt;&gt;"")),FILTER(live,COUNTIF(cat,live)=0)),5),""))</f>
        <v/>
      </c>
      <c r="D13" s="49" t="n"/>
      <c r="E13" s="49">
        <f>$I$3</f>
        <v/>
      </c>
      <c r="F13" s="50">
        <f>IF(D13="","",D13+$I$3)</f>
        <v/>
      </c>
      <c r="G13" s="47" t="inlineStr"/>
      <c r="H13" s="2" t="n"/>
      <c r="I13" s="2" t="n"/>
      <c r="J13" s="2" t="n"/>
      <c r="K13" s="2" t="n"/>
      <c r="L13" s="40" t="n"/>
      <c r="M13" s="2" t="n"/>
      <c r="N13" s="2" t="n"/>
      <c r="O13" s="2" t="n"/>
      <c r="P13" s="2" t="n"/>
    </row>
    <row r="14">
      <c r="A14" s="16" t="inlineStr"/>
      <c r="B14" s="42" t="inlineStr"/>
      <c r="C14" s="43">
        <f>IF($M$2&lt;&gt;"Non-Ferrous","",IFERROR(INDEX(LET(cat,$C$8:$C$8,box,VSTACK($P$2,$L$7:$L$26),live,UNIQUE(FILTER(VSTACK(cat,box),VSTACK(cat,box)&lt;&gt;"")),FILTER(live,COUNTIF(cat,live)=0)),6),""))</f>
        <v/>
      </c>
      <c r="D14" s="44" t="n"/>
      <c r="E14" s="44">
        <f>$I$3</f>
        <v/>
      </c>
      <c r="F14" s="45">
        <f>IF(D14="","",D14+$I$3)</f>
        <v/>
      </c>
      <c r="G14" s="42" t="inlineStr"/>
      <c r="H14" s="2" t="n"/>
      <c r="I14" s="2" t="n"/>
      <c r="J14" s="2" t="n"/>
      <c r="K14" s="2" t="n"/>
      <c r="L14" s="40" t="n"/>
      <c r="M14" s="2" t="n"/>
      <c r="N14" s="2" t="n"/>
      <c r="O14" s="2" t="n"/>
      <c r="P14" s="2" t="n"/>
    </row>
    <row r="15">
      <c r="A15" s="20" t="inlineStr"/>
      <c r="B15" s="47" t="inlineStr"/>
      <c r="C15" s="48">
        <f>IF($M$2&lt;&gt;"Non-Ferrous","",IFERROR(INDEX(LET(cat,$C$8:$C$8,box,VSTACK($P$2,$L$7:$L$26),live,UNIQUE(FILTER(VSTACK(cat,box),VSTACK(cat,box)&lt;&gt;"")),FILTER(live,COUNTIF(cat,live)=0)),7),""))</f>
        <v/>
      </c>
      <c r="D15" s="49" t="n"/>
      <c r="E15" s="49">
        <f>$I$3</f>
        <v/>
      </c>
      <c r="F15" s="50">
        <f>IF(D15="","",D15+$I$3)</f>
        <v/>
      </c>
      <c r="G15" s="47" t="inlineStr"/>
      <c r="H15" s="2" t="n"/>
      <c r="I15" s="2" t="n"/>
      <c r="J15" s="2" t="n"/>
      <c r="K15" s="2" t="n"/>
      <c r="L15" s="40" t="n"/>
      <c r="M15" s="2" t="n"/>
      <c r="N15" s="2" t="n"/>
      <c r="O15" s="2" t="n"/>
      <c r="P15" s="2" t="n"/>
    </row>
    <row r="16">
      <c r="A16" s="16" t="inlineStr"/>
      <c r="B16" s="42" t="inlineStr"/>
      <c r="C16" s="43">
        <f>IF($M$2&lt;&gt;"Non-Ferrous","",IFERROR(INDEX(LET(cat,$C$8:$C$8,box,VSTACK($P$2,$L$7:$L$26),live,UNIQUE(FILTER(VSTACK(cat,box),VSTACK(cat,box)&lt;&gt;"")),FILTER(live,COUNTIF(cat,live)=0)),8),""))</f>
        <v/>
      </c>
      <c r="D16" s="44" t="n"/>
      <c r="E16" s="44">
        <f>$I$3</f>
        <v/>
      </c>
      <c r="F16" s="45">
        <f>IF(D16="","",D16+$I$3)</f>
        <v/>
      </c>
      <c r="G16" s="42" t="inlineStr"/>
      <c r="H16" s="2" t="n"/>
      <c r="I16" s="2" t="n"/>
      <c r="J16" s="2" t="n"/>
      <c r="K16" s="2" t="n"/>
      <c r="L16" s="40" t="n"/>
      <c r="M16" s="2" t="n"/>
      <c r="N16" s="2" t="n"/>
      <c r="O16" s="2" t="n"/>
      <c r="P16" s="2" t="n"/>
    </row>
    <row r="17">
      <c r="A17" s="20" t="inlineStr"/>
      <c r="B17" s="47" t="inlineStr"/>
      <c r="C17" s="48">
        <f>IF($M$2&lt;&gt;"Non-Ferrous","",IFERROR(INDEX(LET(cat,$C$8:$C$8,box,VSTACK($P$2,$L$7:$L$26),live,UNIQUE(FILTER(VSTACK(cat,box),VSTACK(cat,box)&lt;&gt;"")),FILTER(live,COUNTIF(cat,live)=0)),9),""))</f>
        <v/>
      </c>
      <c r="D17" s="49" t="n"/>
      <c r="E17" s="49">
        <f>$I$3</f>
        <v/>
      </c>
      <c r="F17" s="50">
        <f>IF(D17="","",D17+$I$3)</f>
        <v/>
      </c>
      <c r="G17" s="47" t="inlineStr"/>
      <c r="H17" s="2" t="n"/>
      <c r="I17" s="2" t="n"/>
      <c r="J17" s="2" t="n"/>
      <c r="K17" s="2" t="n"/>
      <c r="L17" s="40" t="n"/>
      <c r="M17" s="2" t="n"/>
      <c r="N17" s="2" t="n"/>
      <c r="O17" s="2" t="n"/>
      <c r="P17" s="2" t="n"/>
    </row>
    <row r="18">
      <c r="A18" s="16" t="inlineStr"/>
      <c r="B18" s="42" t="inlineStr"/>
      <c r="C18" s="43">
        <f>IF($M$2&lt;&gt;"Non-Ferrous","",IFERROR(INDEX(LET(cat,$C$8:$C$8,box,VSTACK($P$2,$L$7:$L$26),live,UNIQUE(FILTER(VSTACK(cat,box),VSTACK(cat,box)&lt;&gt;"")),FILTER(live,COUNTIF(cat,live)=0)),10),""))</f>
        <v/>
      </c>
      <c r="D18" s="44" t="n"/>
      <c r="E18" s="44">
        <f>$I$3</f>
        <v/>
      </c>
      <c r="F18" s="45">
        <f>IF(D18="","",D18+$I$3)</f>
        <v/>
      </c>
      <c r="G18" s="42" t="inlineStr"/>
      <c r="H18" s="2" t="n"/>
      <c r="I18" s="2" t="n"/>
      <c r="J18" s="2" t="n"/>
      <c r="K18" s="2" t="n"/>
      <c r="L18" s="40" t="n"/>
      <c r="M18" s="2" t="n"/>
      <c r="N18" s="2" t="n"/>
      <c r="O18" s="2" t="n"/>
      <c r="P18" s="2" t="n"/>
    </row>
    <row r="19">
      <c r="A19" s="20" t="inlineStr"/>
      <c r="B19" s="47" t="inlineStr"/>
      <c r="C19" s="48">
        <f>IF($M$2&lt;&gt;"Non-Ferrous","",IFERROR(INDEX(LET(cat,$C$8:$C$8,box,VSTACK($P$2,$L$7:$L$26),live,UNIQUE(FILTER(VSTACK(cat,box),VSTACK(cat,box)&lt;&gt;"")),FILTER(live,COUNTIF(cat,live)=0)),11),""))</f>
        <v/>
      </c>
      <c r="D19" s="49" t="n"/>
      <c r="E19" s="49">
        <f>$I$3</f>
        <v/>
      </c>
      <c r="F19" s="50">
        <f>IF(D19="","",D19+$I$3)</f>
        <v/>
      </c>
      <c r="G19" s="47" t="inlineStr"/>
      <c r="H19" s="2" t="n"/>
      <c r="I19" s="2" t="n"/>
      <c r="J19" s="2" t="n"/>
      <c r="K19" s="2" t="n"/>
      <c r="L19" s="40" t="n"/>
      <c r="M19" s="2" t="n"/>
      <c r="N19" s="2" t="n"/>
      <c r="O19" s="2" t="n"/>
      <c r="P19" s="2" t="n"/>
    </row>
    <row r="20">
      <c r="A20" s="16" t="inlineStr"/>
      <c r="B20" s="42" t="inlineStr"/>
      <c r="C20" s="43">
        <f>IF($M$2&lt;&gt;"Non-Ferrous","",IFERROR(INDEX(LET(cat,$C$8:$C$8,box,VSTACK($P$2,$L$7:$L$26),live,UNIQUE(FILTER(VSTACK(cat,box),VSTACK(cat,box)&lt;&gt;"")),FILTER(live,COUNTIF(cat,live)=0)),12),""))</f>
        <v/>
      </c>
      <c r="D20" s="44" t="n"/>
      <c r="E20" s="44">
        <f>$I$3</f>
        <v/>
      </c>
      <c r="F20" s="45">
        <f>IF(D20="","",D20+$I$3)</f>
        <v/>
      </c>
      <c r="G20" s="42" t="inlineStr"/>
      <c r="H20" s="2" t="n"/>
      <c r="I20" s="2" t="n"/>
      <c r="J20" s="2" t="n"/>
      <c r="K20" s="2" t="n"/>
      <c r="L20" s="40" t="n"/>
      <c r="M20" s="2" t="n"/>
      <c r="N20" s="2" t="n"/>
      <c r="O20" s="2" t="n"/>
      <c r="P20" s="2" t="n"/>
    </row>
    <row r="21">
      <c r="A21" s="20" t="inlineStr"/>
      <c r="B21" s="47" t="inlineStr"/>
      <c r="C21" s="48">
        <f>IF($M$2&lt;&gt;"Non-Ferrous","",IFERROR(INDEX(LET(cat,$C$8:$C$8,box,VSTACK($P$2,$L$7:$L$26),live,UNIQUE(FILTER(VSTACK(cat,box),VSTACK(cat,box)&lt;&gt;"")),FILTER(live,COUNTIF(cat,live)=0)),13),""))</f>
        <v/>
      </c>
      <c r="D21" s="49" t="n"/>
      <c r="E21" s="49">
        <f>$I$3</f>
        <v/>
      </c>
      <c r="F21" s="50">
        <f>IF(D21="","",D21+$I$3)</f>
        <v/>
      </c>
      <c r="G21" s="47" t="inlineStr"/>
      <c r="H21" s="2" t="n"/>
      <c r="I21" s="2" t="n"/>
      <c r="J21" s="2" t="n"/>
      <c r="K21" s="2" t="n"/>
      <c r="L21" s="40" t="n"/>
      <c r="M21" s="2" t="n"/>
      <c r="N21" s="2" t="n"/>
      <c r="O21" s="2" t="n"/>
      <c r="P21" s="2" t="n"/>
    </row>
    <row r="22">
      <c r="A22" s="16" t="inlineStr"/>
      <c r="B22" s="42" t="inlineStr"/>
      <c r="C22" s="43">
        <f>IF($M$2&lt;&gt;"Non-Ferrous","",IFERROR(INDEX(LET(cat,$C$8:$C$8,box,VSTACK($P$2,$L$7:$L$26),live,UNIQUE(FILTER(VSTACK(cat,box),VSTACK(cat,box)&lt;&gt;"")),FILTER(live,COUNTIF(cat,live)=0)),14),""))</f>
        <v/>
      </c>
      <c r="D22" s="44" t="n"/>
      <c r="E22" s="44">
        <f>$I$3</f>
        <v/>
      </c>
      <c r="F22" s="45">
        <f>IF(D22="","",D22+$I$3)</f>
        <v/>
      </c>
      <c r="G22" s="42" t="inlineStr"/>
      <c r="H22" s="2" t="n"/>
      <c r="I22" s="2" t="n"/>
      <c r="J22" s="2" t="n"/>
      <c r="K22" s="2" t="n"/>
      <c r="L22" s="40" t="n"/>
      <c r="M22" s="2" t="n"/>
      <c r="N22" s="2" t="n"/>
      <c r="O22" s="2" t="n"/>
      <c r="P22" s="2" t="n"/>
    </row>
    <row r="23">
      <c r="A23" s="20" t="inlineStr"/>
      <c r="B23" s="47" t="inlineStr"/>
      <c r="C23" s="48">
        <f>IF($M$2&lt;&gt;"Non-Ferrous","",IFERROR(INDEX(LET(cat,$C$8:$C$8,box,VSTACK($P$2,$L$7:$L$26),live,UNIQUE(FILTER(VSTACK(cat,box),VSTACK(cat,box)&lt;&gt;"")),FILTER(live,COUNTIF(cat,live)=0)),15),""))</f>
        <v/>
      </c>
      <c r="D23" s="49" t="n"/>
      <c r="E23" s="49">
        <f>$I$3</f>
        <v/>
      </c>
      <c r="F23" s="50">
        <f>IF(D23="","",D23+$I$3)</f>
        <v/>
      </c>
      <c r="G23" s="47" t="inlineStr"/>
      <c r="H23" s="2" t="n"/>
      <c r="I23" s="2" t="n"/>
      <c r="J23" s="2" t="n"/>
      <c r="K23" s="2" t="n"/>
      <c r="L23" s="40" t="n"/>
      <c r="M23" s="2" t="n"/>
      <c r="N23" s="2" t="n"/>
      <c r="O23" s="2" t="n"/>
      <c r="P23" s="2" t="n"/>
    </row>
    <row r="24">
      <c r="A24" s="16" t="inlineStr"/>
      <c r="B24" s="42" t="inlineStr"/>
      <c r="C24" s="43">
        <f>IF($M$2&lt;&gt;"Non-Ferrous","",IFERROR(INDEX(LET(cat,$C$8:$C$8,box,VSTACK($P$2,$L$7:$L$26),live,UNIQUE(FILTER(VSTACK(cat,box),VSTACK(cat,box)&lt;&gt;"")),FILTER(live,COUNTIF(cat,live)=0)),16),""))</f>
        <v/>
      </c>
      <c r="D24" s="44" t="n"/>
      <c r="E24" s="44">
        <f>$I$3</f>
        <v/>
      </c>
      <c r="F24" s="45">
        <f>IF(D24="","",D24+$I$3)</f>
        <v/>
      </c>
      <c r="G24" s="42" t="inlineStr"/>
      <c r="H24" s="2" t="n"/>
      <c r="I24" s="2" t="n"/>
      <c r="J24" s="2" t="n"/>
      <c r="K24" s="2" t="n"/>
      <c r="L24" s="40" t="n"/>
      <c r="M24" s="2" t="n"/>
      <c r="N24" s="2" t="n"/>
      <c r="O24" s="2" t="n"/>
      <c r="P24" s="2" t="n"/>
    </row>
    <row r="25">
      <c r="A25" s="20" t="inlineStr"/>
      <c r="B25" s="47" t="inlineStr"/>
      <c r="C25" s="48">
        <f>IF($M$2&lt;&gt;"Non-Ferrous","",IFERROR(INDEX(LET(cat,$C$8:$C$8,box,VSTACK($P$2,$L$7:$L$26),live,UNIQUE(FILTER(VSTACK(cat,box),VSTACK(cat,box)&lt;&gt;"")),FILTER(live,COUNTIF(cat,live)=0)),17),""))</f>
        <v/>
      </c>
      <c r="D25" s="49" t="n"/>
      <c r="E25" s="49">
        <f>$I$3</f>
        <v/>
      </c>
      <c r="F25" s="50">
        <f>IF(D25="","",D25+$I$3)</f>
        <v/>
      </c>
      <c r="G25" s="47" t="inlineStr"/>
      <c r="H25" s="2" t="n"/>
      <c r="I25" s="2" t="n"/>
      <c r="J25" s="2" t="n"/>
      <c r="K25" s="2" t="n"/>
      <c r="L25" s="40" t="n"/>
      <c r="M25" s="2" t="n"/>
      <c r="N25" s="2" t="n"/>
      <c r="O25" s="2" t="n"/>
      <c r="P25" s="2" t="n"/>
    </row>
    <row r="26">
      <c r="A26" s="16" t="inlineStr"/>
      <c r="B26" s="42" t="inlineStr"/>
      <c r="C26" s="43">
        <f>IF($M$2&lt;&gt;"Non-Ferrous","",IFERROR(INDEX(LET(cat,$C$8:$C$8,box,VSTACK($P$2,$L$7:$L$26),live,UNIQUE(FILTER(VSTACK(cat,box),VSTACK(cat,box)&lt;&gt;"")),FILTER(live,COUNTIF(cat,live)=0)),18),""))</f>
        <v/>
      </c>
      <c r="D26" s="44" t="n"/>
      <c r="E26" s="44">
        <f>$I$3</f>
        <v/>
      </c>
      <c r="F26" s="45">
        <f>IF(D26="","",D26+$I$3)</f>
        <v/>
      </c>
      <c r="G26" s="42" t="inlineStr"/>
      <c r="H26" s="2" t="n"/>
      <c r="I26" s="2" t="n"/>
      <c r="J26" s="2" t="n"/>
      <c r="K26" s="2" t="n"/>
      <c r="L26" s="40" t="n"/>
      <c r="M26" s="2" t="n"/>
      <c r="N26" s="2" t="n"/>
      <c r="O26" s="2" t="n"/>
      <c r="P26" s="2" t="n"/>
    </row>
    <row r="27">
      <c r="A27" s="20" t="inlineStr"/>
      <c r="B27" s="47" t="inlineStr"/>
      <c r="C27" s="48">
        <f>IF($M$2&lt;&gt;"Non-Ferrous","",IFERROR(INDEX(LET(cat,$C$8:$C$8,box,VSTACK($P$2,$L$7:$L$26),live,UNIQUE(FILTER(VSTACK(cat,box),VSTACK(cat,box)&lt;&gt;"")),FILTER(live,COUNTIF(cat,live)=0)),19),""))</f>
        <v/>
      </c>
      <c r="D27" s="49" t="n"/>
      <c r="E27" s="49">
        <f>$I$3</f>
        <v/>
      </c>
      <c r="F27" s="50">
        <f>IF(D27="","",D27+$I$3)</f>
        <v/>
      </c>
      <c r="G27" s="47" t="inlineStr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6" t="inlineStr"/>
      <c r="B28" s="42" t="inlineStr"/>
      <c r="C28" s="43">
        <f>IF($M$2&lt;&gt;"Non-Ferrous","",IFERROR(INDEX(LET(cat,$C$8:$C$8,box,VSTACK($P$2,$L$7:$L$26),live,UNIQUE(FILTER(VSTACK(cat,box),VSTACK(cat,box)&lt;&gt;"")),FILTER(live,COUNTIF(cat,live)=0)),20),""))</f>
        <v/>
      </c>
      <c r="D28" s="44" t="n"/>
      <c r="E28" s="44">
        <f>$I$3</f>
        <v/>
      </c>
      <c r="F28" s="45">
        <f>IF(D28="","",D28+$I$3)</f>
        <v/>
      </c>
      <c r="G28" s="42" t="inlineStr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mergeCells count="15">
    <mergeCell ref="H1:J1"/>
    <mergeCell ref="N3:O3"/>
    <mergeCell ref="A1:G1"/>
    <mergeCell ref="A3:G3"/>
    <mergeCell ref="A6:G6"/>
    <mergeCell ref="N2:O2"/>
    <mergeCell ref="M5:O5"/>
    <mergeCell ref="H4:J4"/>
    <mergeCell ref="P3:P5"/>
    <mergeCell ref="B4:G4"/>
    <mergeCell ref="A2:G2"/>
    <mergeCell ref="L6:O6"/>
    <mergeCell ref="H2:J2"/>
    <mergeCell ref="L1:O1"/>
    <mergeCell ref="A5:G5"/>
  </mergeCells>
  <dataValidations count="1">
    <dataValidation sqref="M2" showDropDown="0" showInputMessage="1" showErrorMessage="1" allowBlank="0" errorTitle="Shape" error="Choose Round Bar, Square Bar, Hex Bar, Flat Bar, or Non-Ferrous." promptTitle="Shape" prompt="Select the shape; the size is added to that section on this sheet." type="list">
      <formula1>"Round Bar,Square Bar,Hex Bar,Flat Bar,Non-Ferrous"</formula1>
    </dataValidation>
  </dataValidation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One sheet per grade; Round/Square/Hex/Flat live together. Yellow Daily Adjustment (I3) applies to every size on that sheet. Green Add Size appends into the selected shape section. No protection, no password.</dc:description>
  <dc:subject>Editable steel price list by grade family (all shapes on one sheet)</dc:subject>
  <dcterms:created xsi:type="dcterms:W3CDTF">2026-09-04T11:09:59Z</dcterms:created>
  <dcterms:modified xsi:type="dcterms:W3CDTF">2026-09-04T11:10:00Z</dcterms:modified>
</cp:coreProperties>
</file>