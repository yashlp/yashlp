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Guest Directory" sheetId="2" state="visible" r:id="rId2"/>
    <sheet name="Mahendi" sheetId="3" state="visible" r:id="rId3"/>
    <sheet name="Haldi" sheetId="4" state="visible" r:id="rId4"/>
    <sheet name="Paherwani" sheetId="5" state="visible" r:id="rId5"/>
    <sheet name="Ganpati Stapna" sheetId="6" state="visible" r:id="rId6"/>
    <sheet name="Sangeet" sheetId="7" state="visible" r:id="rId7"/>
    <sheet name="Wedding" sheetId="8" state="visible" r:id="rId8"/>
  </sheets>
  <definedNames>
    <definedName name="GuestDirectoryNames">'Guest Directory'!$A$5:$A$304</definedName>
    <definedName name="_xlnm._FilterDatabase" localSheetId="0" hidden="1">'Summary'!$A$8:$D$14</definedName>
    <definedName name="_xlnm.Print_Titles" localSheetId="0">'Summary'!$1:$8</definedName>
    <definedName name="_xlnm.Print_Titles" localSheetId="1">'Guest Directory'!$1:$4</definedName>
    <definedName name="_xlnm.Print_Titles" localSheetId="2">'Mahendi'!$1:$4</definedName>
    <definedName name="_xlnm.Print_Area" localSheetId="2">'Mahendi'!$A$1:$G$304</definedName>
    <definedName name="_xlnm.Print_Titles" localSheetId="3">'Haldi'!$1:$4</definedName>
    <definedName name="_xlnm.Print_Area" localSheetId="3">'Haldi'!$A$1:$G$304</definedName>
    <definedName name="_xlnm.Print_Titles" localSheetId="4">'Paherwani'!$1:$4</definedName>
    <definedName name="_xlnm.Print_Area" localSheetId="4">'Paherwani'!$A$1:$G$304</definedName>
    <definedName name="_xlnm.Print_Titles" localSheetId="5">'Ganpati Stapna'!$1:$4</definedName>
    <definedName name="_xlnm.Print_Area" localSheetId="5">'Ganpati Stapna'!$A$1:$G$304</definedName>
    <definedName name="_xlnm.Print_Titles" localSheetId="6">'Sangeet'!$1:$4</definedName>
    <definedName name="_xlnm.Print_Area" localSheetId="6">'Sangeet'!$A$1:$G$304</definedName>
    <definedName name="_xlnm.Print_Titles" localSheetId="7">'Wedding'!$1:$4</definedName>
    <definedName name="_xlnm.Print_Area" localSheetId="7">'Wedding'!$A$1:$G$304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0"/>
  <fonts count="16">
    <font>
      <name val="Calibri"/>
      <family val="2"/>
      <color theme="1"/>
      <sz val="11"/>
      <scheme val="minor"/>
    </font>
    <font>
      <name val="Aptos Display"/>
      <b val="1"/>
      <color rgb="0017365D"/>
      <sz val="20"/>
    </font>
    <font>
      <name val="Aptos"/>
      <color rgb="00666666"/>
      <sz val="11"/>
    </font>
    <font>
      <name val="Aptos"/>
      <i val="1"/>
      <color rgb="00666666"/>
      <sz val="10"/>
    </font>
    <font>
      <name val="Aptos"/>
      <b val="1"/>
      <color rgb="0017365D"/>
      <sz val="12"/>
    </font>
    <font>
      <name val="Aptos"/>
      <b val="1"/>
      <color rgb="00FFFFFF"/>
      <sz val="11"/>
    </font>
    <font>
      <name val="Aptos"/>
      <color rgb="000563C1"/>
      <u val="single"/>
    </font>
    <font>
      <name val="Aptos"/>
      <b val="1"/>
    </font>
    <font>
      <name val="Aptos"/>
      <b val="1"/>
      <color rgb="000563C1"/>
      <sz val="11"/>
      <u val="single"/>
    </font>
    <font>
      <name val="Aptos"/>
      <b val="1"/>
      <color rgb="00C00000"/>
    </font>
    <font>
      <name val="Aptos Display"/>
      <b val="1"/>
      <color rgb="0017365D"/>
      <sz val="18"/>
    </font>
    <font>
      <name val="Aptos"/>
      <color rgb="00666666"/>
      <sz val="10"/>
    </font>
    <font>
      <color rgb="000563C1"/>
      <u val="single"/>
    </font>
    <font>
      <name val="Aptos"/>
      <b val="1"/>
      <color rgb="00FFFFFF"/>
    </font>
    <font>
      <name val="Aptos"/>
      <b val="1"/>
      <color rgb="0017365D"/>
      <sz val="14"/>
    </font>
    <font>
      <name val="Aptos"/>
      <i val="1"/>
      <color rgb="00666666"/>
      <sz val="9"/>
    </font>
  </fonts>
  <fills count="5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0F6B5D"/>
      </patternFill>
    </fill>
    <fill>
      <patternFill patternType="solid">
        <fgColor rgb="00DDEBF7"/>
      </patternFill>
    </fill>
  </fills>
  <borders count="4">
    <border>
      <left/>
      <right/>
      <top/>
      <bottom/>
      <diagonal/>
    </border>
    <border>
      <left style="thin">
        <color rgb="00D9E1F2"/>
      </left>
      <right style="thin">
        <color rgb="00D9E1F2"/>
      </right>
      <top style="thin">
        <color rgb="00D9E1F2"/>
      </top>
      <bottom style="thin">
        <color rgb="00D9E1F2"/>
      </bottom>
    </border>
    <border>
      <bottom style="thin">
        <color rgb="00D9E1F2"/>
      </bottom>
    </border>
    <border>
      <top style="thin">
        <color rgb="00D9E1F2"/>
      </top>
      <bottom style="thin">
        <color rgb="00D9E1F2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2" borderId="1" applyAlignment="1" pivotButton="0" quotePrefix="0" xfId="0">
      <alignment vertical="top" wrapText="1"/>
    </xf>
    <xf numFmtId="0" fontId="5" fillId="3" borderId="2" applyAlignment="1" pivotButton="0" quotePrefix="0" xfId="0">
      <alignment horizontal="left" vertical="center"/>
    </xf>
    <xf numFmtId="0" fontId="0" fillId="0" borderId="2" pivotButton="0" quotePrefix="0" xfId="0"/>
    <xf numFmtId="0" fontId="6" fillId="0" borderId="2" pivotButton="0" quotePrefix="0" xfId="0"/>
    <xf numFmtId="0" fontId="7" fillId="4" borderId="3" pivotButton="0" quotePrefix="0" xfId="0"/>
    <xf numFmtId="0" fontId="0" fillId="4" borderId="3" pivotButton="0" quotePrefix="0" xfId="0"/>
    <xf numFmtId="0" fontId="8" fillId="0" borderId="0" pivotButton="0" quotePrefix="0" xfId="0"/>
    <xf numFmtId="0" fontId="9" fillId="0" borderId="0" pivotButton="0" quotePrefix="0" xfId="0"/>
    <xf numFmtId="0" fontId="0" fillId="0" borderId="0" applyAlignment="1" pivotButton="0" quotePrefix="0" xfId="0">
      <alignment vertical="top" wrapText="1"/>
    </xf>
    <xf numFmtId="0" fontId="10" fillId="0" borderId="0" applyAlignment="1" pivotButton="0" quotePrefix="0" xfId="0">
      <alignment vertical="center"/>
    </xf>
    <xf numFmtId="0" fontId="11" fillId="0" borderId="0" pivotButton="0" quotePrefix="0" xfId="0"/>
    <xf numFmtId="0" fontId="12" fillId="0" borderId="0" pivotButton="0" quotePrefix="0" xfId="0"/>
    <xf numFmtId="1" fontId="0" fillId="0" borderId="2" pivotButton="0" quotePrefix="0" xfId="0"/>
    <xf numFmtId="0" fontId="13" fillId="3" borderId="0" pivotButton="0" quotePrefix="0" xfId="0"/>
    <xf numFmtId="0" fontId="14" fillId="4" borderId="0" applyAlignment="1" pivotButton="0" quotePrefix="0" xfId="0">
      <alignment horizontal="center"/>
    </xf>
    <xf numFmtId="0" fontId="15" fillId="0" borderId="0" applyAlignment="1" pivotButton="0" quotePrefix="0" xfId="0">
      <alignment wrapText="1"/>
    </xf>
    <xf numFmtId="0" fontId="0" fillId="0" borderId="2" applyAlignment="1" pivotButton="0" quotePrefix="0" xfId="0">
      <alignment horizontal="center"/>
    </xf>
    <xf numFmtId="1" fontId="0" fillId="0" borderId="2" applyAlignment="1" pivotButton="0" quotePrefix="0" xfId="0">
      <alignment horizontal="center"/>
    </xf>
  </cellXfs>
  <cellStyles count="1">
    <cellStyle name="Normal" xfId="0" builtinId="0" hidden="0"/>
  </cellStyles>
  <dxfs count="1">
    <dxf>
      <fill>
        <patternFill patternType="solid">
          <f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ables/table1.xml><?xml version="1.0" encoding="utf-8"?>
<table xmlns="http://schemas.openxmlformats.org/spreadsheetml/2006/main" id="1" name="GuestDirectoryTable" displayName="GuestDirectoryTable" ref="A4:C304" headerRowCount="1">
  <autoFilter ref="A4:C304"/>
  <tableColumns count="3">
    <tableColumn id="1" name="Guest Name"/>
    <tableColumn id="2" name="Default Family Members / Total People"/>
    <tableColumn id="3" name="Note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MahendiGuestTable" displayName="MahendiGuestTable" ref="A4:D304" headerRowCount="1">
  <autoFilter ref="A4:D304"/>
  <tableColumns count="4">
    <tableColumn id="1" name="S.No"/>
    <tableColumn id="2" name="Guest Name"/>
    <tableColumn id="3" name="Family Members / Total People"/>
    <tableColumn id="4" name="Notes"/>
  </tableColumns>
  <tableStyleInfo name="TableStyleMedium4" showFirstColumn="0" showLastColumn="0" showRowStripes="1" showColumnStripes="0"/>
</table>
</file>

<file path=xl/tables/table3.xml><?xml version="1.0" encoding="utf-8"?>
<table xmlns="http://schemas.openxmlformats.org/spreadsheetml/2006/main" id="3" name="HaldiGuestTable" displayName="HaldiGuestTable" ref="A4:D304" headerRowCount="1">
  <autoFilter ref="A4:D304"/>
  <tableColumns count="4">
    <tableColumn id="1" name="S.No"/>
    <tableColumn id="2" name="Guest Name"/>
    <tableColumn id="3" name="Family Members / Total People"/>
    <tableColumn id="4" name="Notes"/>
  </tableColumns>
  <tableStyleInfo name="TableStyleMedium4" showFirstColumn="0" showLastColumn="0" showRowStripes="1" showColumnStripes="0"/>
</table>
</file>

<file path=xl/tables/table4.xml><?xml version="1.0" encoding="utf-8"?>
<table xmlns="http://schemas.openxmlformats.org/spreadsheetml/2006/main" id="4" name="PaherwaniGuestTable" displayName="PaherwaniGuestTable" ref="A4:D304" headerRowCount="1">
  <autoFilter ref="A4:D304"/>
  <tableColumns count="4">
    <tableColumn id="1" name="S.No"/>
    <tableColumn id="2" name="Guest Name"/>
    <tableColumn id="3" name="Family Members / Total People"/>
    <tableColumn id="4" name="Notes"/>
  </tableColumns>
  <tableStyleInfo name="TableStyleMedium4" showFirstColumn="0" showLastColumn="0" showRowStripes="1" showColumnStripes="0"/>
</table>
</file>

<file path=xl/tables/table5.xml><?xml version="1.0" encoding="utf-8"?>
<table xmlns="http://schemas.openxmlformats.org/spreadsheetml/2006/main" id="5" name="GanpatiStapnaGuestTable" displayName="GanpatiStapnaGuestTable" ref="A4:D304" headerRowCount="1">
  <autoFilter ref="A4:D304"/>
  <tableColumns count="4">
    <tableColumn id="1" name="S.No"/>
    <tableColumn id="2" name="Guest Name"/>
    <tableColumn id="3" name="Family Members / Total People"/>
    <tableColumn id="4" name="Notes"/>
  </tableColumns>
  <tableStyleInfo name="TableStyleMedium4" showFirstColumn="0" showLastColumn="0" showRowStripes="1" showColumnStripes="0"/>
</table>
</file>

<file path=xl/tables/table6.xml><?xml version="1.0" encoding="utf-8"?>
<table xmlns="http://schemas.openxmlformats.org/spreadsheetml/2006/main" id="6" name="SangeetGuestTable" displayName="SangeetGuestTable" ref="A4:D304" headerRowCount="1">
  <autoFilter ref="A4:D304"/>
  <tableColumns count="4">
    <tableColumn id="1" name="S.No"/>
    <tableColumn id="2" name="Guest Name"/>
    <tableColumn id="3" name="Family Members / Total People"/>
    <tableColumn id="4" name="Notes"/>
  </tableColumns>
  <tableStyleInfo name="TableStyleMedium4" showFirstColumn="0" showLastColumn="0" showRowStripes="1" showColumnStripes="0"/>
</table>
</file>

<file path=xl/tables/table7.xml><?xml version="1.0" encoding="utf-8"?>
<table xmlns="http://schemas.openxmlformats.org/spreadsheetml/2006/main" id="7" name="WeddingGuestTable" displayName="WeddingGuestTable" ref="A4:D304" headerRowCount="1">
  <autoFilter ref="A4:D304"/>
  <tableColumns count="4">
    <tableColumn id="1" name="S.No"/>
    <tableColumn id="2" name="Guest Name"/>
    <tableColumn id="3" name="Family Members / Total People"/>
    <tableColumn id="4" name="Notes"/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sheet1.xml><?xml version="1.0" encoding="utf-8"?>
<worksheet xmlns="http://schemas.openxmlformats.org/spreadsheetml/2006/main">
  <sheetPr>
    <tabColor rgb="000F6B5D"/>
    <outlinePr summaryBelow="1" summaryRight="1"/>
    <pageSetUpPr/>
  </sheetPr>
  <dimension ref="A1:D20"/>
  <sheetViews>
    <sheetView zoomScale="95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18" customWidth="1" min="3" max="3"/>
    <col width="18" customWidth="1" min="4" max="4"/>
  </cols>
  <sheetData>
    <row r="1" ht="29" customHeight="1">
      <c r="A1" s="1" t="inlineStr">
        <is>
          <t>Wedding Functions Guest List</t>
        </is>
      </c>
    </row>
    <row r="2">
      <c r="A2" s="2" t="inlineStr">
        <is>
          <t>Choose a function below. Every guest list is editable and updates its guest count automatically.</t>
        </is>
      </c>
    </row>
    <row r="3">
      <c r="A3" s="3" t="inlineStr">
        <is>
          <t>Tip: choose existing names from the dropdown, or type a new name. Use Guest Directory to maintain shared names and default headcounts.</t>
        </is>
      </c>
    </row>
    <row r="5">
      <c r="A5" s="4" t="inlineStr">
        <is>
          <t>Share with family</t>
        </is>
      </c>
    </row>
    <row r="6" ht="46" customHeight="1">
      <c r="A6" s="5" t="inlineStr">
        <is>
          <t>Upload this file to OneDrive → open in Excel Online → Share → Link settings → Anyone with the link → Can edit → Apply → Copy link.</t>
        </is>
      </c>
    </row>
    <row r="8" ht="24" customHeight="1">
      <c r="A8" s="6" t="inlineStr">
        <is>
          <t>Function</t>
        </is>
      </c>
      <c r="B8" s="6" t="inlineStr">
        <is>
          <t>Open list</t>
        </is>
      </c>
      <c r="C8" s="6" t="inlineStr">
        <is>
          <t>Guest entries</t>
        </is>
      </c>
      <c r="D8" s="6" t="inlineStr">
        <is>
          <t>Total guests</t>
        </is>
      </c>
    </row>
    <row r="9">
      <c r="A9" s="7" t="inlineStr">
        <is>
          <t>Mahendi</t>
        </is>
      </c>
      <c r="B9" s="8">
        <f>HYPERLINK("#'Mahendi'!A1","Open guest list")</f>
        <v/>
      </c>
      <c r="C9" s="7">
        <f>COUNTIF('Mahendi'!$B$5:$B$304,"?*")</f>
        <v/>
      </c>
      <c r="D9" s="7">
        <f>SUM('Mahendi'!$C$5:$C$304)</f>
        <v/>
      </c>
    </row>
    <row r="10">
      <c r="A10" s="7" t="inlineStr">
        <is>
          <t>Haldi</t>
        </is>
      </c>
      <c r="B10" s="8">
        <f>HYPERLINK("#'Haldi'!A1","Open guest list")</f>
        <v/>
      </c>
      <c r="C10" s="7">
        <f>COUNTIF('Haldi'!$B$5:$B$304,"?*")</f>
        <v/>
      </c>
      <c r="D10" s="7">
        <f>SUM('Haldi'!$C$5:$C$304)</f>
        <v/>
      </c>
    </row>
    <row r="11">
      <c r="A11" s="7" t="inlineStr">
        <is>
          <t>Paherwani</t>
        </is>
      </c>
      <c r="B11" s="8">
        <f>HYPERLINK("#'Paherwani'!A1","Open guest list")</f>
        <v/>
      </c>
      <c r="C11" s="7">
        <f>COUNTIF('Paherwani'!$B$5:$B$304,"?*")</f>
        <v/>
      </c>
      <c r="D11" s="7">
        <f>SUM('Paherwani'!$C$5:$C$304)</f>
        <v/>
      </c>
    </row>
    <row r="12">
      <c r="A12" s="7" t="inlineStr">
        <is>
          <t>Ganpati Stapna</t>
        </is>
      </c>
      <c r="B12" s="8">
        <f>HYPERLINK("#'Ganpati Stapna'!A1","Open guest list")</f>
        <v/>
      </c>
      <c r="C12" s="7">
        <f>COUNTIF('Ganpati Stapna'!$B$5:$B$304,"?*")</f>
        <v/>
      </c>
      <c r="D12" s="7">
        <f>SUM('Ganpati Stapna'!$C$5:$C$304)</f>
        <v/>
      </c>
    </row>
    <row r="13">
      <c r="A13" s="7" t="inlineStr">
        <is>
          <t>Sangeet</t>
        </is>
      </c>
      <c r="B13" s="8">
        <f>HYPERLINK("#'Sangeet'!A1","Open guest list")</f>
        <v/>
      </c>
      <c r="C13" s="7">
        <f>COUNTIF('Sangeet'!$B$5:$B$304,"?*")</f>
        <v/>
      </c>
      <c r="D13" s="7">
        <f>SUM('Sangeet'!$C$5:$C$304)</f>
        <v/>
      </c>
    </row>
    <row r="14">
      <c r="A14" s="7" t="inlineStr">
        <is>
          <t>Wedding</t>
        </is>
      </c>
      <c r="B14" s="8">
        <f>HYPERLINK("#'Wedding'!A1","Open guest list")</f>
        <v/>
      </c>
      <c r="C14" s="7">
        <f>COUNTIF('Wedding'!$B$5:$B$304,"?*")</f>
        <v/>
      </c>
      <c r="D14" s="7">
        <f>SUM('Wedding'!$C$5:$C$304)</f>
        <v/>
      </c>
    </row>
    <row r="15">
      <c r="A15" s="9" t="inlineStr">
        <is>
          <t>All functions total</t>
        </is>
      </c>
      <c r="B15" s="10" t="n"/>
      <c r="C15" s="10">
        <f>SUM(C9:C14)</f>
        <v/>
      </c>
      <c r="D15" s="10">
        <f>SUM(D9:D14)</f>
        <v/>
      </c>
    </row>
    <row r="17">
      <c r="A17" s="11">
        <f>HYPERLINK("#'Guest Directory'!A1","Open Guest Directory")</f>
        <v/>
      </c>
    </row>
    <row r="19">
      <c r="A19" s="12" t="inlineStr">
        <is>
          <t>Important</t>
        </is>
      </c>
    </row>
    <row r="20" ht="40" customHeight="1">
      <c r="A20" s="13" t="inlineStr">
        <is>
          <t>An “Anyone can edit” link lets anyone who receives it change or delete entries. Keep a backup copy.</t>
        </is>
      </c>
    </row>
  </sheetData>
  <autoFilter ref="A8:D1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5B9BD5"/>
    <outlinePr summaryBelow="1" summaryRight="1"/>
    <pageSetUpPr/>
  </sheetPr>
  <dimension ref="A1:C304"/>
  <sheetViews>
    <sheetView zoomScale="95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8" customWidth="1" min="1" max="1"/>
    <col width="38" customWidth="1" min="2" max="2"/>
    <col width="32" customWidth="1" min="3" max="3"/>
  </cols>
  <sheetData>
    <row r="1" ht="27" customHeight="1">
      <c r="A1" s="14" t="inlineStr">
        <is>
          <t>Guest Directory</t>
        </is>
      </c>
    </row>
    <row r="2">
      <c r="A2" s="15" t="inlineStr">
        <is>
          <t>Edit shared names and default headcounts here. Event sheets use this list for their guest-name dropdowns and automatic headcount suggestions.</t>
        </is>
      </c>
    </row>
    <row r="3">
      <c r="A3" s="16">
        <f>HYPERLINK("#Summary!A1","← Back to Summary")</f>
        <v/>
      </c>
    </row>
    <row r="4" ht="34" customHeight="1">
      <c r="A4" s="6" t="inlineStr">
        <is>
          <t>Guest Name</t>
        </is>
      </c>
      <c r="B4" s="6" t="inlineStr">
        <is>
          <t>Default Family Members / Total People</t>
        </is>
      </c>
      <c r="C4" s="6" t="inlineStr">
        <is>
          <t>Notes</t>
        </is>
      </c>
    </row>
    <row r="5">
      <c r="A5" s="7" t="inlineStr">
        <is>
          <t>shree ganeshay namah</t>
        </is>
      </c>
      <c r="B5" s="17" t="n">
        <v>0</v>
      </c>
      <c r="C5" s="7" t="n"/>
    </row>
    <row r="6">
      <c r="A6" s="7" t="inlineStr">
        <is>
          <t>shree bherulalji</t>
        </is>
      </c>
      <c r="B6" s="17" t="n">
        <v>4</v>
      </c>
      <c r="C6" s="7" t="n"/>
    </row>
    <row r="7">
      <c r="A7" s="7" t="inlineStr">
        <is>
          <t>kamlesh shah</t>
        </is>
      </c>
      <c r="B7" s="17" t="n">
        <v>6</v>
      </c>
      <c r="C7" s="7" t="n"/>
    </row>
    <row r="8">
      <c r="A8" s="7" t="inlineStr">
        <is>
          <t>dinesh jagetiya</t>
        </is>
      </c>
      <c r="B8" s="17" t="n">
        <v>4</v>
      </c>
      <c r="C8" s="7" t="n"/>
    </row>
    <row r="9">
      <c r="A9" s="7" t="inlineStr">
        <is>
          <t>lalit jagetiya</t>
        </is>
      </c>
      <c r="B9" s="17" t="n">
        <v>4</v>
      </c>
      <c r="C9" s="7" t="n"/>
    </row>
    <row r="10">
      <c r="A10" s="7" t="inlineStr">
        <is>
          <t>shree sundarlalji</t>
        </is>
      </c>
      <c r="B10" s="17" t="n">
        <v>4</v>
      </c>
      <c r="C10" s="7" t="n"/>
    </row>
    <row r="11">
      <c r="A11" s="7" t="inlineStr">
        <is>
          <t>anil jagetiya</t>
        </is>
      </c>
      <c r="B11" s="17" t="n">
        <v>2</v>
      </c>
      <c r="C11" s="7" t="n"/>
    </row>
    <row r="12">
      <c r="A12" s="7" t="inlineStr">
        <is>
          <t>rajesh jagetiya</t>
        </is>
      </c>
      <c r="B12" s="17" t="n">
        <v>2</v>
      </c>
      <c r="C12" s="7" t="n"/>
    </row>
    <row r="13">
      <c r="A13" s="7" t="inlineStr">
        <is>
          <t>ganpat anand</t>
        </is>
      </c>
      <c r="B13" s="17" t="n">
        <v>4</v>
      </c>
      <c r="C13" s="7" t="n"/>
    </row>
    <row r="14">
      <c r="A14" s="7" t="inlineStr">
        <is>
          <t>pintu anand</t>
        </is>
      </c>
      <c r="B14" s="17" t="n">
        <v>4</v>
      </c>
      <c r="C14" s="7" t="n"/>
    </row>
    <row r="15">
      <c r="A15" s="7" t="inlineStr">
        <is>
          <t>manoj anand</t>
        </is>
      </c>
      <c r="B15" s="17" t="n">
        <v>4</v>
      </c>
      <c r="C15" s="7" t="n"/>
    </row>
    <row r="16">
      <c r="A16" s="7" t="inlineStr">
        <is>
          <t>piyushbhai madhiwala</t>
        </is>
      </c>
      <c r="B16" s="17" t="n">
        <v>3</v>
      </c>
      <c r="C16" s="7" t="n"/>
    </row>
    <row r="17">
      <c r="A17" s="7" t="inlineStr">
        <is>
          <t>sanjay ji bhopal</t>
        </is>
      </c>
      <c r="B17" s="17" t="n">
        <v>9</v>
      </c>
      <c r="C17" s="7" t="n"/>
    </row>
    <row r="18">
      <c r="A18" s="7" t="inlineStr">
        <is>
          <t>nilesh bhatt</t>
        </is>
      </c>
      <c r="B18" s="17" t="n">
        <v>5</v>
      </c>
      <c r="C18" s="7" t="n"/>
    </row>
    <row r="19">
      <c r="A19" s="7" t="inlineStr">
        <is>
          <t>nirav</t>
        </is>
      </c>
      <c r="B19" s="17" t="n">
        <v>2</v>
      </c>
      <c r="C19" s="7" t="n"/>
    </row>
    <row r="20">
      <c r="A20" s="7" t="inlineStr">
        <is>
          <t>yogesh</t>
        </is>
      </c>
      <c r="B20" s="17" t="n">
        <v>2</v>
      </c>
      <c r="C20" s="7" t="n"/>
    </row>
    <row r="21">
      <c r="A21" s="7" t="inlineStr">
        <is>
          <t>rakesh pathak</t>
        </is>
      </c>
      <c r="B21" s="17" t="n">
        <v>1</v>
      </c>
      <c r="C21" s="7" t="n"/>
    </row>
    <row r="22">
      <c r="A22" s="7" t="inlineStr">
        <is>
          <t>shankarlalji</t>
        </is>
      </c>
      <c r="B22" s="17" t="n">
        <v>0</v>
      </c>
      <c r="C22" s="7" t="n"/>
    </row>
    <row r="23">
      <c r="A23" s="7" t="inlineStr">
        <is>
          <t>shankarlalji mandowara family</t>
        </is>
      </c>
      <c r="B23" s="17" t="n">
        <v>13</v>
      </c>
      <c r="C23" s="7" t="n"/>
    </row>
    <row r="24">
      <c r="A24" s="7" t="inlineStr">
        <is>
          <t>satyanarayaji mandowara</t>
        </is>
      </c>
      <c r="B24" s="17" t="n">
        <v>7</v>
      </c>
      <c r="C24" s="7" t="n"/>
    </row>
    <row r="25">
      <c r="A25" s="7" t="inlineStr">
        <is>
          <t>radhika</t>
        </is>
      </c>
      <c r="B25" s="17" t="n">
        <v>1</v>
      </c>
      <c r="C25" s="7" t="n"/>
    </row>
    <row r="26">
      <c r="A26" s="7" t="inlineStr">
        <is>
          <t>vishal jagetiya</t>
        </is>
      </c>
      <c r="B26" s="17" t="n">
        <v>2</v>
      </c>
      <c r="C26" s="7" t="n"/>
    </row>
    <row r="27">
      <c r="A27" s="7" t="inlineStr">
        <is>
          <t>kantibhaishab</t>
        </is>
      </c>
      <c r="B27" s="17" t="n">
        <v>3</v>
      </c>
      <c r="C27" s="7" t="n"/>
    </row>
    <row r="28">
      <c r="A28" s="7" t="inlineStr">
        <is>
          <t>jitindharmin</t>
        </is>
      </c>
      <c r="B28" s="17" t="n">
        <v>5</v>
      </c>
      <c r="C28" s="7" t="n"/>
    </row>
    <row r="29">
      <c r="A29" s="7" t="inlineStr">
        <is>
          <t>upendrakumar family</t>
        </is>
      </c>
      <c r="B29" s="17" t="n">
        <v>7</v>
      </c>
      <c r="C29" s="7" t="n"/>
    </row>
    <row r="30">
      <c r="A30" s="7" t="inlineStr">
        <is>
          <t>gunvantbhai</t>
        </is>
      </c>
      <c r="B30" s="17" t="n">
        <v>5</v>
      </c>
      <c r="C30" s="7" t="n"/>
    </row>
    <row r="31">
      <c r="A31" s="7" t="inlineStr">
        <is>
          <t>jagdishbhai</t>
        </is>
      </c>
      <c r="B31" s="17" t="n">
        <v>3</v>
      </c>
      <c r="C31" s="7" t="n"/>
    </row>
    <row r="32">
      <c r="A32" s="7" t="inlineStr">
        <is>
          <t>nimeshbhai kesariya</t>
        </is>
      </c>
      <c r="B32" s="17" t="n">
        <v>2</v>
      </c>
      <c r="C32" s="7" t="n"/>
    </row>
    <row r="33">
      <c r="A33" s="7" t="inlineStr">
        <is>
          <t>darpan patel rakesh shah</t>
        </is>
      </c>
      <c r="B33" s="17" t="n">
        <v>4</v>
      </c>
      <c r="C33" s="7" t="n"/>
    </row>
    <row r="34">
      <c r="A34" s="7" t="inlineStr">
        <is>
          <t>sanjay patel</t>
        </is>
      </c>
      <c r="B34" s="17" t="n">
        <v>1</v>
      </c>
      <c r="C34" s="7" t="n"/>
    </row>
    <row r="35">
      <c r="A35" s="7" t="inlineStr">
        <is>
          <t>sanjay kothari</t>
        </is>
      </c>
      <c r="B35" s="17" t="n">
        <v>3</v>
      </c>
      <c r="C35" s="7" t="n"/>
    </row>
    <row r="36">
      <c r="A36" s="7" t="n"/>
      <c r="B36" s="17" t="n"/>
      <c r="C36" s="7" t="n"/>
    </row>
    <row r="37">
      <c r="A37" s="7" t="n"/>
      <c r="B37" s="17" t="n"/>
      <c r="C37" s="7" t="n"/>
    </row>
    <row r="38">
      <c r="A38" s="7" t="n"/>
      <c r="B38" s="17" t="n"/>
      <c r="C38" s="7" t="n"/>
    </row>
    <row r="39">
      <c r="A39" s="7" t="n"/>
      <c r="B39" s="17" t="n"/>
      <c r="C39" s="7" t="n"/>
    </row>
    <row r="40">
      <c r="A40" s="7" t="n"/>
      <c r="B40" s="17" t="n"/>
      <c r="C40" s="7" t="n"/>
    </row>
    <row r="41">
      <c r="A41" s="7" t="n"/>
      <c r="B41" s="17" t="n"/>
      <c r="C41" s="7" t="n"/>
    </row>
    <row r="42">
      <c r="A42" s="7" t="n"/>
      <c r="B42" s="17" t="n"/>
      <c r="C42" s="7" t="n"/>
    </row>
    <row r="43">
      <c r="A43" s="7" t="n"/>
      <c r="B43" s="17" t="n"/>
      <c r="C43" s="7" t="n"/>
    </row>
    <row r="44">
      <c r="A44" s="7" t="n"/>
      <c r="B44" s="17" t="n"/>
      <c r="C44" s="7" t="n"/>
    </row>
    <row r="45">
      <c r="A45" s="7" t="n"/>
      <c r="B45" s="17" t="n"/>
      <c r="C45" s="7" t="n"/>
    </row>
    <row r="46">
      <c r="A46" s="7" t="n"/>
      <c r="B46" s="17" t="n"/>
      <c r="C46" s="7" t="n"/>
    </row>
    <row r="47">
      <c r="A47" s="7" t="n"/>
      <c r="B47" s="17" t="n"/>
      <c r="C47" s="7" t="n"/>
    </row>
    <row r="48">
      <c r="A48" s="7" t="n"/>
      <c r="B48" s="17" t="n"/>
      <c r="C48" s="7" t="n"/>
    </row>
    <row r="49">
      <c r="A49" s="7" t="n"/>
      <c r="B49" s="17" t="n"/>
      <c r="C49" s="7" t="n"/>
    </row>
    <row r="50">
      <c r="A50" s="7" t="n"/>
      <c r="B50" s="17" t="n"/>
      <c r="C50" s="7" t="n"/>
    </row>
    <row r="51">
      <c r="A51" s="7" t="n"/>
      <c r="B51" s="17" t="n"/>
      <c r="C51" s="7" t="n"/>
    </row>
    <row r="52">
      <c r="A52" s="7" t="n"/>
      <c r="B52" s="17" t="n"/>
      <c r="C52" s="7" t="n"/>
    </row>
    <row r="53">
      <c r="A53" s="7" t="n"/>
      <c r="B53" s="17" t="n"/>
      <c r="C53" s="7" t="n"/>
    </row>
    <row r="54">
      <c r="A54" s="7" t="n"/>
      <c r="B54" s="17" t="n"/>
      <c r="C54" s="7" t="n"/>
    </row>
    <row r="55">
      <c r="A55" s="7" t="n"/>
      <c r="B55" s="17" t="n"/>
      <c r="C55" s="7" t="n"/>
    </row>
    <row r="56">
      <c r="A56" s="7" t="n"/>
      <c r="B56" s="17" t="n"/>
      <c r="C56" s="7" t="n"/>
    </row>
    <row r="57">
      <c r="A57" s="7" t="n"/>
      <c r="B57" s="17" t="n"/>
      <c r="C57" s="7" t="n"/>
    </row>
    <row r="58">
      <c r="A58" s="7" t="n"/>
      <c r="B58" s="17" t="n"/>
      <c r="C58" s="7" t="n"/>
    </row>
    <row r="59">
      <c r="A59" s="7" t="n"/>
      <c r="B59" s="17" t="n"/>
      <c r="C59" s="7" t="n"/>
    </row>
    <row r="60">
      <c r="A60" s="7" t="n"/>
      <c r="B60" s="17" t="n"/>
      <c r="C60" s="7" t="n"/>
    </row>
    <row r="61">
      <c r="A61" s="7" t="n"/>
      <c r="B61" s="17" t="n"/>
      <c r="C61" s="7" t="n"/>
    </row>
    <row r="62">
      <c r="A62" s="7" t="n"/>
      <c r="B62" s="17" t="n"/>
      <c r="C62" s="7" t="n"/>
    </row>
    <row r="63">
      <c r="A63" s="7" t="n"/>
      <c r="B63" s="17" t="n"/>
      <c r="C63" s="7" t="n"/>
    </row>
    <row r="64">
      <c r="A64" s="7" t="n"/>
      <c r="B64" s="17" t="n"/>
      <c r="C64" s="7" t="n"/>
    </row>
    <row r="65">
      <c r="A65" s="7" t="n"/>
      <c r="B65" s="17" t="n"/>
      <c r="C65" s="7" t="n"/>
    </row>
    <row r="66">
      <c r="A66" s="7" t="n"/>
      <c r="B66" s="17" t="n"/>
      <c r="C66" s="7" t="n"/>
    </row>
    <row r="67">
      <c r="A67" s="7" t="n"/>
      <c r="B67" s="17" t="n"/>
      <c r="C67" s="7" t="n"/>
    </row>
    <row r="68">
      <c r="A68" s="7" t="n"/>
      <c r="B68" s="17" t="n"/>
      <c r="C68" s="7" t="n"/>
    </row>
    <row r="69">
      <c r="A69" s="7" t="n"/>
      <c r="B69" s="17" t="n"/>
      <c r="C69" s="7" t="n"/>
    </row>
    <row r="70">
      <c r="A70" s="7" t="n"/>
      <c r="B70" s="17" t="n"/>
      <c r="C70" s="7" t="n"/>
    </row>
    <row r="71">
      <c r="A71" s="7" t="n"/>
      <c r="B71" s="17" t="n"/>
      <c r="C71" s="7" t="n"/>
    </row>
    <row r="72">
      <c r="A72" s="7" t="n"/>
      <c r="B72" s="17" t="n"/>
      <c r="C72" s="7" t="n"/>
    </row>
    <row r="73">
      <c r="A73" s="7" t="n"/>
      <c r="B73" s="17" t="n"/>
      <c r="C73" s="7" t="n"/>
    </row>
    <row r="74">
      <c r="A74" s="7" t="n"/>
      <c r="B74" s="17" t="n"/>
      <c r="C74" s="7" t="n"/>
    </row>
    <row r="75">
      <c r="A75" s="7" t="n"/>
      <c r="B75" s="17" t="n"/>
      <c r="C75" s="7" t="n"/>
    </row>
    <row r="76">
      <c r="A76" s="7" t="n"/>
      <c r="B76" s="17" t="n"/>
      <c r="C76" s="7" t="n"/>
    </row>
    <row r="77">
      <c r="A77" s="7" t="n"/>
      <c r="B77" s="17" t="n"/>
      <c r="C77" s="7" t="n"/>
    </row>
    <row r="78">
      <c r="A78" s="7" t="n"/>
      <c r="B78" s="17" t="n"/>
      <c r="C78" s="7" t="n"/>
    </row>
    <row r="79">
      <c r="A79" s="7" t="n"/>
      <c r="B79" s="17" t="n"/>
      <c r="C79" s="7" t="n"/>
    </row>
    <row r="80">
      <c r="A80" s="7" t="n"/>
      <c r="B80" s="17" t="n"/>
      <c r="C80" s="7" t="n"/>
    </row>
    <row r="81">
      <c r="A81" s="7" t="n"/>
      <c r="B81" s="17" t="n"/>
      <c r="C81" s="7" t="n"/>
    </row>
    <row r="82">
      <c r="A82" s="7" t="n"/>
      <c r="B82" s="17" t="n"/>
      <c r="C82" s="7" t="n"/>
    </row>
    <row r="83">
      <c r="A83" s="7" t="n"/>
      <c r="B83" s="17" t="n"/>
      <c r="C83" s="7" t="n"/>
    </row>
    <row r="84">
      <c r="A84" s="7" t="n"/>
      <c r="B84" s="17" t="n"/>
      <c r="C84" s="7" t="n"/>
    </row>
    <row r="85">
      <c r="A85" s="7" t="n"/>
      <c r="B85" s="17" t="n"/>
      <c r="C85" s="7" t="n"/>
    </row>
    <row r="86">
      <c r="A86" s="7" t="n"/>
      <c r="B86" s="17" t="n"/>
      <c r="C86" s="7" t="n"/>
    </row>
    <row r="87">
      <c r="A87" s="7" t="n"/>
      <c r="B87" s="17" t="n"/>
      <c r="C87" s="7" t="n"/>
    </row>
    <row r="88">
      <c r="A88" s="7" t="n"/>
      <c r="B88" s="17" t="n"/>
      <c r="C88" s="7" t="n"/>
    </row>
    <row r="89">
      <c r="A89" s="7" t="n"/>
      <c r="B89" s="17" t="n"/>
      <c r="C89" s="7" t="n"/>
    </row>
    <row r="90">
      <c r="A90" s="7" t="n"/>
      <c r="B90" s="17" t="n"/>
      <c r="C90" s="7" t="n"/>
    </row>
    <row r="91">
      <c r="A91" s="7" t="n"/>
      <c r="B91" s="17" t="n"/>
      <c r="C91" s="7" t="n"/>
    </row>
    <row r="92">
      <c r="A92" s="7" t="n"/>
      <c r="B92" s="17" t="n"/>
      <c r="C92" s="7" t="n"/>
    </row>
    <row r="93">
      <c r="A93" s="7" t="n"/>
      <c r="B93" s="17" t="n"/>
      <c r="C93" s="7" t="n"/>
    </row>
    <row r="94">
      <c r="A94" s="7" t="n"/>
      <c r="B94" s="17" t="n"/>
      <c r="C94" s="7" t="n"/>
    </row>
    <row r="95">
      <c r="A95" s="7" t="n"/>
      <c r="B95" s="17" t="n"/>
      <c r="C95" s="7" t="n"/>
    </row>
    <row r="96">
      <c r="A96" s="7" t="n"/>
      <c r="B96" s="17" t="n"/>
      <c r="C96" s="7" t="n"/>
    </row>
    <row r="97">
      <c r="A97" s="7" t="n"/>
      <c r="B97" s="17" t="n"/>
      <c r="C97" s="7" t="n"/>
    </row>
    <row r="98">
      <c r="A98" s="7" t="n"/>
      <c r="B98" s="17" t="n"/>
      <c r="C98" s="7" t="n"/>
    </row>
    <row r="99">
      <c r="A99" s="7" t="n"/>
      <c r="B99" s="17" t="n"/>
      <c r="C99" s="7" t="n"/>
    </row>
    <row r="100">
      <c r="A100" s="7" t="n"/>
      <c r="B100" s="17" t="n"/>
      <c r="C100" s="7" t="n"/>
    </row>
    <row r="101">
      <c r="A101" s="7" t="n"/>
      <c r="B101" s="17" t="n"/>
      <c r="C101" s="7" t="n"/>
    </row>
    <row r="102">
      <c r="A102" s="7" t="n"/>
      <c r="B102" s="17" t="n"/>
      <c r="C102" s="7" t="n"/>
    </row>
    <row r="103">
      <c r="A103" s="7" t="n"/>
      <c r="B103" s="17" t="n"/>
      <c r="C103" s="7" t="n"/>
    </row>
    <row r="104">
      <c r="A104" s="7" t="n"/>
      <c r="B104" s="17" t="n"/>
      <c r="C104" s="7" t="n"/>
    </row>
    <row r="105">
      <c r="A105" s="7" t="n"/>
      <c r="B105" s="17" t="n"/>
      <c r="C105" s="7" t="n"/>
    </row>
    <row r="106">
      <c r="A106" s="7" t="n"/>
      <c r="B106" s="17" t="n"/>
      <c r="C106" s="7" t="n"/>
    </row>
    <row r="107">
      <c r="A107" s="7" t="n"/>
      <c r="B107" s="17" t="n"/>
      <c r="C107" s="7" t="n"/>
    </row>
    <row r="108">
      <c r="A108" s="7" t="n"/>
      <c r="B108" s="17" t="n"/>
      <c r="C108" s="7" t="n"/>
    </row>
    <row r="109">
      <c r="A109" s="7" t="n"/>
      <c r="B109" s="17" t="n"/>
      <c r="C109" s="7" t="n"/>
    </row>
    <row r="110">
      <c r="A110" s="7" t="n"/>
      <c r="B110" s="17" t="n"/>
      <c r="C110" s="7" t="n"/>
    </row>
    <row r="111">
      <c r="A111" s="7" t="n"/>
      <c r="B111" s="17" t="n"/>
      <c r="C111" s="7" t="n"/>
    </row>
    <row r="112">
      <c r="A112" s="7" t="n"/>
      <c r="B112" s="17" t="n"/>
      <c r="C112" s="7" t="n"/>
    </row>
    <row r="113">
      <c r="A113" s="7" t="n"/>
      <c r="B113" s="17" t="n"/>
      <c r="C113" s="7" t="n"/>
    </row>
    <row r="114">
      <c r="A114" s="7" t="n"/>
      <c r="B114" s="17" t="n"/>
      <c r="C114" s="7" t="n"/>
    </row>
    <row r="115">
      <c r="A115" s="7" t="n"/>
      <c r="B115" s="17" t="n"/>
      <c r="C115" s="7" t="n"/>
    </row>
    <row r="116">
      <c r="A116" s="7" t="n"/>
      <c r="B116" s="17" t="n"/>
      <c r="C116" s="7" t="n"/>
    </row>
    <row r="117">
      <c r="A117" s="7" t="n"/>
      <c r="B117" s="17" t="n"/>
      <c r="C117" s="7" t="n"/>
    </row>
    <row r="118">
      <c r="A118" s="7" t="n"/>
      <c r="B118" s="17" t="n"/>
      <c r="C118" s="7" t="n"/>
    </row>
    <row r="119">
      <c r="A119" s="7" t="n"/>
      <c r="B119" s="17" t="n"/>
      <c r="C119" s="7" t="n"/>
    </row>
    <row r="120">
      <c r="A120" s="7" t="n"/>
      <c r="B120" s="17" t="n"/>
      <c r="C120" s="7" t="n"/>
    </row>
    <row r="121">
      <c r="A121" s="7" t="n"/>
      <c r="B121" s="17" t="n"/>
      <c r="C121" s="7" t="n"/>
    </row>
    <row r="122">
      <c r="A122" s="7" t="n"/>
      <c r="B122" s="17" t="n"/>
      <c r="C122" s="7" t="n"/>
    </row>
    <row r="123">
      <c r="A123" s="7" t="n"/>
      <c r="B123" s="17" t="n"/>
      <c r="C123" s="7" t="n"/>
    </row>
    <row r="124">
      <c r="A124" s="7" t="n"/>
      <c r="B124" s="17" t="n"/>
      <c r="C124" s="7" t="n"/>
    </row>
    <row r="125">
      <c r="A125" s="7" t="n"/>
      <c r="B125" s="17" t="n"/>
      <c r="C125" s="7" t="n"/>
    </row>
    <row r="126">
      <c r="A126" s="7" t="n"/>
      <c r="B126" s="17" t="n"/>
      <c r="C126" s="7" t="n"/>
    </row>
    <row r="127">
      <c r="A127" s="7" t="n"/>
      <c r="B127" s="17" t="n"/>
      <c r="C127" s="7" t="n"/>
    </row>
    <row r="128">
      <c r="A128" s="7" t="n"/>
      <c r="B128" s="17" t="n"/>
      <c r="C128" s="7" t="n"/>
    </row>
    <row r="129">
      <c r="A129" s="7" t="n"/>
      <c r="B129" s="17" t="n"/>
      <c r="C129" s="7" t="n"/>
    </row>
    <row r="130">
      <c r="A130" s="7" t="n"/>
      <c r="B130" s="17" t="n"/>
      <c r="C130" s="7" t="n"/>
    </row>
    <row r="131">
      <c r="A131" s="7" t="n"/>
      <c r="B131" s="17" t="n"/>
      <c r="C131" s="7" t="n"/>
    </row>
    <row r="132">
      <c r="A132" s="7" t="n"/>
      <c r="B132" s="17" t="n"/>
      <c r="C132" s="7" t="n"/>
    </row>
    <row r="133">
      <c r="A133" s="7" t="n"/>
      <c r="B133" s="17" t="n"/>
      <c r="C133" s="7" t="n"/>
    </row>
    <row r="134">
      <c r="A134" s="7" t="n"/>
      <c r="B134" s="17" t="n"/>
      <c r="C134" s="7" t="n"/>
    </row>
    <row r="135">
      <c r="A135" s="7" t="n"/>
      <c r="B135" s="17" t="n"/>
      <c r="C135" s="7" t="n"/>
    </row>
    <row r="136">
      <c r="A136" s="7" t="n"/>
      <c r="B136" s="17" t="n"/>
      <c r="C136" s="7" t="n"/>
    </row>
    <row r="137">
      <c r="A137" s="7" t="n"/>
      <c r="B137" s="17" t="n"/>
      <c r="C137" s="7" t="n"/>
    </row>
    <row r="138">
      <c r="A138" s="7" t="n"/>
      <c r="B138" s="17" t="n"/>
      <c r="C138" s="7" t="n"/>
    </row>
    <row r="139">
      <c r="A139" s="7" t="n"/>
      <c r="B139" s="17" t="n"/>
      <c r="C139" s="7" t="n"/>
    </row>
    <row r="140">
      <c r="A140" s="7" t="n"/>
      <c r="B140" s="17" t="n"/>
      <c r="C140" s="7" t="n"/>
    </row>
    <row r="141">
      <c r="A141" s="7" t="n"/>
      <c r="B141" s="17" t="n"/>
      <c r="C141" s="7" t="n"/>
    </row>
    <row r="142">
      <c r="A142" s="7" t="n"/>
      <c r="B142" s="17" t="n"/>
      <c r="C142" s="7" t="n"/>
    </row>
    <row r="143">
      <c r="A143" s="7" t="n"/>
      <c r="B143" s="17" t="n"/>
      <c r="C143" s="7" t="n"/>
    </row>
    <row r="144">
      <c r="A144" s="7" t="n"/>
      <c r="B144" s="17" t="n"/>
      <c r="C144" s="7" t="n"/>
    </row>
    <row r="145">
      <c r="A145" s="7" t="n"/>
      <c r="B145" s="17" t="n"/>
      <c r="C145" s="7" t="n"/>
    </row>
    <row r="146">
      <c r="A146" s="7" t="n"/>
      <c r="B146" s="17" t="n"/>
      <c r="C146" s="7" t="n"/>
    </row>
    <row r="147">
      <c r="A147" s="7" t="n"/>
      <c r="B147" s="17" t="n"/>
      <c r="C147" s="7" t="n"/>
    </row>
    <row r="148">
      <c r="A148" s="7" t="n"/>
      <c r="B148" s="17" t="n"/>
      <c r="C148" s="7" t="n"/>
    </row>
    <row r="149">
      <c r="A149" s="7" t="n"/>
      <c r="B149" s="17" t="n"/>
      <c r="C149" s="7" t="n"/>
    </row>
    <row r="150">
      <c r="A150" s="7" t="n"/>
      <c r="B150" s="17" t="n"/>
      <c r="C150" s="7" t="n"/>
    </row>
    <row r="151">
      <c r="A151" s="7" t="n"/>
      <c r="B151" s="17" t="n"/>
      <c r="C151" s="7" t="n"/>
    </row>
    <row r="152">
      <c r="A152" s="7" t="n"/>
      <c r="B152" s="17" t="n"/>
      <c r="C152" s="7" t="n"/>
    </row>
    <row r="153">
      <c r="A153" s="7" t="n"/>
      <c r="B153" s="17" t="n"/>
      <c r="C153" s="7" t="n"/>
    </row>
    <row r="154">
      <c r="A154" s="7" t="n"/>
      <c r="B154" s="17" t="n"/>
      <c r="C154" s="7" t="n"/>
    </row>
    <row r="155">
      <c r="A155" s="7" t="n"/>
      <c r="B155" s="17" t="n"/>
      <c r="C155" s="7" t="n"/>
    </row>
    <row r="156">
      <c r="A156" s="7" t="n"/>
      <c r="B156" s="17" t="n"/>
      <c r="C156" s="7" t="n"/>
    </row>
    <row r="157">
      <c r="A157" s="7" t="n"/>
      <c r="B157" s="17" t="n"/>
      <c r="C157" s="7" t="n"/>
    </row>
    <row r="158">
      <c r="A158" s="7" t="n"/>
      <c r="B158" s="17" t="n"/>
      <c r="C158" s="7" t="n"/>
    </row>
    <row r="159">
      <c r="A159" s="7" t="n"/>
      <c r="B159" s="17" t="n"/>
      <c r="C159" s="7" t="n"/>
    </row>
    <row r="160">
      <c r="A160" s="7" t="n"/>
      <c r="B160" s="17" t="n"/>
      <c r="C160" s="7" t="n"/>
    </row>
    <row r="161">
      <c r="A161" s="7" t="n"/>
      <c r="B161" s="17" t="n"/>
      <c r="C161" s="7" t="n"/>
    </row>
    <row r="162">
      <c r="A162" s="7" t="n"/>
      <c r="B162" s="17" t="n"/>
      <c r="C162" s="7" t="n"/>
    </row>
    <row r="163">
      <c r="A163" s="7" t="n"/>
      <c r="B163" s="17" t="n"/>
      <c r="C163" s="7" t="n"/>
    </row>
    <row r="164">
      <c r="A164" s="7" t="n"/>
      <c r="B164" s="17" t="n"/>
      <c r="C164" s="7" t="n"/>
    </row>
    <row r="165">
      <c r="A165" s="7" t="n"/>
      <c r="B165" s="17" t="n"/>
      <c r="C165" s="7" t="n"/>
    </row>
    <row r="166">
      <c r="A166" s="7" t="n"/>
      <c r="B166" s="17" t="n"/>
      <c r="C166" s="7" t="n"/>
    </row>
    <row r="167">
      <c r="A167" s="7" t="n"/>
      <c r="B167" s="17" t="n"/>
      <c r="C167" s="7" t="n"/>
    </row>
    <row r="168">
      <c r="A168" s="7" t="n"/>
      <c r="B168" s="17" t="n"/>
      <c r="C168" s="7" t="n"/>
    </row>
    <row r="169">
      <c r="A169" s="7" t="n"/>
      <c r="B169" s="17" t="n"/>
      <c r="C169" s="7" t="n"/>
    </row>
    <row r="170">
      <c r="A170" s="7" t="n"/>
      <c r="B170" s="17" t="n"/>
      <c r="C170" s="7" t="n"/>
    </row>
    <row r="171">
      <c r="A171" s="7" t="n"/>
      <c r="B171" s="17" t="n"/>
      <c r="C171" s="7" t="n"/>
    </row>
    <row r="172">
      <c r="A172" s="7" t="n"/>
      <c r="B172" s="17" t="n"/>
      <c r="C172" s="7" t="n"/>
    </row>
    <row r="173">
      <c r="A173" s="7" t="n"/>
      <c r="B173" s="17" t="n"/>
      <c r="C173" s="7" t="n"/>
    </row>
    <row r="174">
      <c r="A174" s="7" t="n"/>
      <c r="B174" s="17" t="n"/>
      <c r="C174" s="7" t="n"/>
    </row>
    <row r="175">
      <c r="A175" s="7" t="n"/>
      <c r="B175" s="17" t="n"/>
      <c r="C175" s="7" t="n"/>
    </row>
    <row r="176">
      <c r="A176" s="7" t="n"/>
      <c r="B176" s="17" t="n"/>
      <c r="C176" s="7" t="n"/>
    </row>
    <row r="177">
      <c r="A177" s="7" t="n"/>
      <c r="B177" s="17" t="n"/>
      <c r="C177" s="7" t="n"/>
    </row>
    <row r="178">
      <c r="A178" s="7" t="n"/>
      <c r="B178" s="17" t="n"/>
      <c r="C178" s="7" t="n"/>
    </row>
    <row r="179">
      <c r="A179" s="7" t="n"/>
      <c r="B179" s="17" t="n"/>
      <c r="C179" s="7" t="n"/>
    </row>
    <row r="180">
      <c r="A180" s="7" t="n"/>
      <c r="B180" s="17" t="n"/>
      <c r="C180" s="7" t="n"/>
    </row>
    <row r="181">
      <c r="A181" s="7" t="n"/>
      <c r="B181" s="17" t="n"/>
      <c r="C181" s="7" t="n"/>
    </row>
    <row r="182">
      <c r="A182" s="7" t="n"/>
      <c r="B182" s="17" t="n"/>
      <c r="C182" s="7" t="n"/>
    </row>
    <row r="183">
      <c r="A183" s="7" t="n"/>
      <c r="B183" s="17" t="n"/>
      <c r="C183" s="7" t="n"/>
    </row>
    <row r="184">
      <c r="A184" s="7" t="n"/>
      <c r="B184" s="17" t="n"/>
      <c r="C184" s="7" t="n"/>
    </row>
    <row r="185">
      <c r="A185" s="7" t="n"/>
      <c r="B185" s="17" t="n"/>
      <c r="C185" s="7" t="n"/>
    </row>
    <row r="186">
      <c r="A186" s="7" t="n"/>
      <c r="B186" s="17" t="n"/>
      <c r="C186" s="7" t="n"/>
    </row>
    <row r="187">
      <c r="A187" s="7" t="n"/>
      <c r="B187" s="17" t="n"/>
      <c r="C187" s="7" t="n"/>
    </row>
    <row r="188">
      <c r="A188" s="7" t="n"/>
      <c r="B188" s="17" t="n"/>
      <c r="C188" s="7" t="n"/>
    </row>
    <row r="189">
      <c r="A189" s="7" t="n"/>
      <c r="B189" s="17" t="n"/>
      <c r="C189" s="7" t="n"/>
    </row>
    <row r="190">
      <c r="A190" s="7" t="n"/>
      <c r="B190" s="17" t="n"/>
      <c r="C190" s="7" t="n"/>
    </row>
    <row r="191">
      <c r="A191" s="7" t="n"/>
      <c r="B191" s="17" t="n"/>
      <c r="C191" s="7" t="n"/>
    </row>
    <row r="192">
      <c r="A192" s="7" t="n"/>
      <c r="B192" s="17" t="n"/>
      <c r="C192" s="7" t="n"/>
    </row>
    <row r="193">
      <c r="A193" s="7" t="n"/>
      <c r="B193" s="17" t="n"/>
      <c r="C193" s="7" t="n"/>
    </row>
    <row r="194">
      <c r="A194" s="7" t="n"/>
      <c r="B194" s="17" t="n"/>
      <c r="C194" s="7" t="n"/>
    </row>
    <row r="195">
      <c r="A195" s="7" t="n"/>
      <c r="B195" s="17" t="n"/>
      <c r="C195" s="7" t="n"/>
    </row>
    <row r="196">
      <c r="A196" s="7" t="n"/>
      <c r="B196" s="17" t="n"/>
      <c r="C196" s="7" t="n"/>
    </row>
    <row r="197">
      <c r="A197" s="7" t="n"/>
      <c r="B197" s="17" t="n"/>
      <c r="C197" s="7" t="n"/>
    </row>
    <row r="198">
      <c r="A198" s="7" t="n"/>
      <c r="B198" s="17" t="n"/>
      <c r="C198" s="7" t="n"/>
    </row>
    <row r="199">
      <c r="A199" s="7" t="n"/>
      <c r="B199" s="17" t="n"/>
      <c r="C199" s="7" t="n"/>
    </row>
    <row r="200">
      <c r="A200" s="7" t="n"/>
      <c r="B200" s="17" t="n"/>
      <c r="C200" s="7" t="n"/>
    </row>
    <row r="201">
      <c r="A201" s="7" t="n"/>
      <c r="B201" s="17" t="n"/>
      <c r="C201" s="7" t="n"/>
    </row>
    <row r="202">
      <c r="A202" s="7" t="n"/>
      <c r="B202" s="17" t="n"/>
      <c r="C202" s="7" t="n"/>
    </row>
    <row r="203">
      <c r="A203" s="7" t="n"/>
      <c r="B203" s="17" t="n"/>
      <c r="C203" s="7" t="n"/>
    </row>
    <row r="204">
      <c r="A204" s="7" t="n"/>
      <c r="B204" s="17" t="n"/>
      <c r="C204" s="7" t="n"/>
    </row>
    <row r="205">
      <c r="A205" s="7" t="n"/>
      <c r="B205" s="17" t="n"/>
      <c r="C205" s="7" t="n"/>
    </row>
    <row r="206">
      <c r="A206" s="7" t="n"/>
      <c r="B206" s="17" t="n"/>
      <c r="C206" s="7" t="n"/>
    </row>
    <row r="207">
      <c r="A207" s="7" t="n"/>
      <c r="B207" s="17" t="n"/>
      <c r="C207" s="7" t="n"/>
    </row>
    <row r="208">
      <c r="A208" s="7" t="n"/>
      <c r="B208" s="17" t="n"/>
      <c r="C208" s="7" t="n"/>
    </row>
    <row r="209">
      <c r="A209" s="7" t="n"/>
      <c r="B209" s="17" t="n"/>
      <c r="C209" s="7" t="n"/>
    </row>
    <row r="210">
      <c r="A210" s="7" t="n"/>
      <c r="B210" s="17" t="n"/>
      <c r="C210" s="7" t="n"/>
    </row>
    <row r="211">
      <c r="A211" s="7" t="n"/>
      <c r="B211" s="17" t="n"/>
      <c r="C211" s="7" t="n"/>
    </row>
    <row r="212">
      <c r="A212" s="7" t="n"/>
      <c r="B212" s="17" t="n"/>
      <c r="C212" s="7" t="n"/>
    </row>
    <row r="213">
      <c r="A213" s="7" t="n"/>
      <c r="B213" s="17" t="n"/>
      <c r="C213" s="7" t="n"/>
    </row>
    <row r="214">
      <c r="A214" s="7" t="n"/>
      <c r="B214" s="17" t="n"/>
      <c r="C214" s="7" t="n"/>
    </row>
    <row r="215">
      <c r="A215" s="7" t="n"/>
      <c r="B215" s="17" t="n"/>
      <c r="C215" s="7" t="n"/>
    </row>
    <row r="216">
      <c r="A216" s="7" t="n"/>
      <c r="B216" s="17" t="n"/>
      <c r="C216" s="7" t="n"/>
    </row>
    <row r="217">
      <c r="A217" s="7" t="n"/>
      <c r="B217" s="17" t="n"/>
      <c r="C217" s="7" t="n"/>
    </row>
    <row r="218">
      <c r="A218" s="7" t="n"/>
      <c r="B218" s="17" t="n"/>
      <c r="C218" s="7" t="n"/>
    </row>
    <row r="219">
      <c r="A219" s="7" t="n"/>
      <c r="B219" s="17" t="n"/>
      <c r="C219" s="7" t="n"/>
    </row>
    <row r="220">
      <c r="A220" s="7" t="n"/>
      <c r="B220" s="17" t="n"/>
      <c r="C220" s="7" t="n"/>
    </row>
    <row r="221">
      <c r="A221" s="7" t="n"/>
      <c r="B221" s="17" t="n"/>
      <c r="C221" s="7" t="n"/>
    </row>
    <row r="222">
      <c r="A222" s="7" t="n"/>
      <c r="B222" s="17" t="n"/>
      <c r="C222" s="7" t="n"/>
    </row>
    <row r="223">
      <c r="A223" s="7" t="n"/>
      <c r="B223" s="17" t="n"/>
      <c r="C223" s="7" t="n"/>
    </row>
    <row r="224">
      <c r="A224" s="7" t="n"/>
      <c r="B224" s="17" t="n"/>
      <c r="C224" s="7" t="n"/>
    </row>
    <row r="225">
      <c r="A225" s="7" t="n"/>
      <c r="B225" s="17" t="n"/>
      <c r="C225" s="7" t="n"/>
    </row>
    <row r="226">
      <c r="A226" s="7" t="n"/>
      <c r="B226" s="17" t="n"/>
      <c r="C226" s="7" t="n"/>
    </row>
    <row r="227">
      <c r="A227" s="7" t="n"/>
      <c r="B227" s="17" t="n"/>
      <c r="C227" s="7" t="n"/>
    </row>
    <row r="228">
      <c r="A228" s="7" t="n"/>
      <c r="B228" s="17" t="n"/>
      <c r="C228" s="7" t="n"/>
    </row>
    <row r="229">
      <c r="A229" s="7" t="n"/>
      <c r="B229" s="17" t="n"/>
      <c r="C229" s="7" t="n"/>
    </row>
    <row r="230">
      <c r="A230" s="7" t="n"/>
      <c r="B230" s="17" t="n"/>
      <c r="C230" s="7" t="n"/>
    </row>
    <row r="231">
      <c r="A231" s="7" t="n"/>
      <c r="B231" s="17" t="n"/>
      <c r="C231" s="7" t="n"/>
    </row>
    <row r="232">
      <c r="A232" s="7" t="n"/>
      <c r="B232" s="17" t="n"/>
      <c r="C232" s="7" t="n"/>
    </row>
    <row r="233">
      <c r="A233" s="7" t="n"/>
      <c r="B233" s="17" t="n"/>
      <c r="C233" s="7" t="n"/>
    </row>
    <row r="234">
      <c r="A234" s="7" t="n"/>
      <c r="B234" s="17" t="n"/>
      <c r="C234" s="7" t="n"/>
    </row>
    <row r="235">
      <c r="A235" s="7" t="n"/>
      <c r="B235" s="17" t="n"/>
      <c r="C235" s="7" t="n"/>
    </row>
    <row r="236">
      <c r="A236" s="7" t="n"/>
      <c r="B236" s="17" t="n"/>
      <c r="C236" s="7" t="n"/>
    </row>
    <row r="237">
      <c r="A237" s="7" t="n"/>
      <c r="B237" s="17" t="n"/>
      <c r="C237" s="7" t="n"/>
    </row>
    <row r="238">
      <c r="A238" s="7" t="n"/>
      <c r="B238" s="17" t="n"/>
      <c r="C238" s="7" t="n"/>
    </row>
    <row r="239">
      <c r="A239" s="7" t="n"/>
      <c r="B239" s="17" t="n"/>
      <c r="C239" s="7" t="n"/>
    </row>
    <row r="240">
      <c r="A240" s="7" t="n"/>
      <c r="B240" s="17" t="n"/>
      <c r="C240" s="7" t="n"/>
    </row>
    <row r="241">
      <c r="A241" s="7" t="n"/>
      <c r="B241" s="17" t="n"/>
      <c r="C241" s="7" t="n"/>
    </row>
    <row r="242">
      <c r="A242" s="7" t="n"/>
      <c r="B242" s="17" t="n"/>
      <c r="C242" s="7" t="n"/>
    </row>
    <row r="243">
      <c r="A243" s="7" t="n"/>
      <c r="B243" s="17" t="n"/>
      <c r="C243" s="7" t="n"/>
    </row>
    <row r="244">
      <c r="A244" s="7" t="n"/>
      <c r="B244" s="17" t="n"/>
      <c r="C244" s="7" t="n"/>
    </row>
    <row r="245">
      <c r="A245" s="7" t="n"/>
      <c r="B245" s="17" t="n"/>
      <c r="C245" s="7" t="n"/>
    </row>
    <row r="246">
      <c r="A246" s="7" t="n"/>
      <c r="B246" s="17" t="n"/>
      <c r="C246" s="7" t="n"/>
    </row>
    <row r="247">
      <c r="A247" s="7" t="n"/>
      <c r="B247" s="17" t="n"/>
      <c r="C247" s="7" t="n"/>
    </row>
    <row r="248">
      <c r="A248" s="7" t="n"/>
      <c r="B248" s="17" t="n"/>
      <c r="C248" s="7" t="n"/>
    </row>
    <row r="249">
      <c r="A249" s="7" t="n"/>
      <c r="B249" s="17" t="n"/>
      <c r="C249" s="7" t="n"/>
    </row>
    <row r="250">
      <c r="A250" s="7" t="n"/>
      <c r="B250" s="17" t="n"/>
      <c r="C250" s="7" t="n"/>
    </row>
    <row r="251">
      <c r="A251" s="7" t="n"/>
      <c r="B251" s="17" t="n"/>
      <c r="C251" s="7" t="n"/>
    </row>
    <row r="252">
      <c r="A252" s="7" t="n"/>
      <c r="B252" s="17" t="n"/>
      <c r="C252" s="7" t="n"/>
    </row>
    <row r="253">
      <c r="A253" s="7" t="n"/>
      <c r="B253" s="17" t="n"/>
      <c r="C253" s="7" t="n"/>
    </row>
    <row r="254">
      <c r="A254" s="7" t="n"/>
      <c r="B254" s="17" t="n"/>
      <c r="C254" s="7" t="n"/>
    </row>
    <row r="255">
      <c r="A255" s="7" t="n"/>
      <c r="B255" s="17" t="n"/>
      <c r="C255" s="7" t="n"/>
    </row>
    <row r="256">
      <c r="A256" s="7" t="n"/>
      <c r="B256" s="17" t="n"/>
      <c r="C256" s="7" t="n"/>
    </row>
    <row r="257">
      <c r="A257" s="7" t="n"/>
      <c r="B257" s="17" t="n"/>
      <c r="C257" s="7" t="n"/>
    </row>
    <row r="258">
      <c r="A258" s="7" t="n"/>
      <c r="B258" s="17" t="n"/>
      <c r="C258" s="7" t="n"/>
    </row>
    <row r="259">
      <c r="A259" s="7" t="n"/>
      <c r="B259" s="17" t="n"/>
      <c r="C259" s="7" t="n"/>
    </row>
    <row r="260">
      <c r="A260" s="7" t="n"/>
      <c r="B260" s="17" t="n"/>
      <c r="C260" s="7" t="n"/>
    </row>
    <row r="261">
      <c r="A261" s="7" t="n"/>
      <c r="B261" s="17" t="n"/>
      <c r="C261" s="7" t="n"/>
    </row>
    <row r="262">
      <c r="A262" s="7" t="n"/>
      <c r="B262" s="17" t="n"/>
      <c r="C262" s="7" t="n"/>
    </row>
    <row r="263">
      <c r="A263" s="7" t="n"/>
      <c r="B263" s="17" t="n"/>
      <c r="C263" s="7" t="n"/>
    </row>
    <row r="264">
      <c r="A264" s="7" t="n"/>
      <c r="B264" s="17" t="n"/>
      <c r="C264" s="7" t="n"/>
    </row>
    <row r="265">
      <c r="A265" s="7" t="n"/>
      <c r="B265" s="17" t="n"/>
      <c r="C265" s="7" t="n"/>
    </row>
    <row r="266">
      <c r="A266" s="7" t="n"/>
      <c r="B266" s="17" t="n"/>
      <c r="C266" s="7" t="n"/>
    </row>
    <row r="267">
      <c r="A267" s="7" t="n"/>
      <c r="B267" s="17" t="n"/>
      <c r="C267" s="7" t="n"/>
    </row>
    <row r="268">
      <c r="A268" s="7" t="n"/>
      <c r="B268" s="17" t="n"/>
      <c r="C268" s="7" t="n"/>
    </row>
    <row r="269">
      <c r="A269" s="7" t="n"/>
      <c r="B269" s="17" t="n"/>
      <c r="C269" s="7" t="n"/>
    </row>
    <row r="270">
      <c r="A270" s="7" t="n"/>
      <c r="B270" s="17" t="n"/>
      <c r="C270" s="7" t="n"/>
    </row>
    <row r="271">
      <c r="A271" s="7" t="n"/>
      <c r="B271" s="17" t="n"/>
      <c r="C271" s="7" t="n"/>
    </row>
    <row r="272">
      <c r="A272" s="7" t="n"/>
      <c r="B272" s="17" t="n"/>
      <c r="C272" s="7" t="n"/>
    </row>
    <row r="273">
      <c r="A273" s="7" t="n"/>
      <c r="B273" s="17" t="n"/>
      <c r="C273" s="7" t="n"/>
    </row>
    <row r="274">
      <c r="A274" s="7" t="n"/>
      <c r="B274" s="17" t="n"/>
      <c r="C274" s="7" t="n"/>
    </row>
    <row r="275">
      <c r="A275" s="7" t="n"/>
      <c r="B275" s="17" t="n"/>
      <c r="C275" s="7" t="n"/>
    </row>
    <row r="276">
      <c r="A276" s="7" t="n"/>
      <c r="B276" s="17" t="n"/>
      <c r="C276" s="7" t="n"/>
    </row>
    <row r="277">
      <c r="A277" s="7" t="n"/>
      <c r="B277" s="17" t="n"/>
      <c r="C277" s="7" t="n"/>
    </row>
    <row r="278">
      <c r="A278" s="7" t="n"/>
      <c r="B278" s="17" t="n"/>
      <c r="C278" s="7" t="n"/>
    </row>
    <row r="279">
      <c r="A279" s="7" t="n"/>
      <c r="B279" s="17" t="n"/>
      <c r="C279" s="7" t="n"/>
    </row>
    <row r="280">
      <c r="A280" s="7" t="n"/>
      <c r="B280" s="17" t="n"/>
      <c r="C280" s="7" t="n"/>
    </row>
    <row r="281">
      <c r="A281" s="7" t="n"/>
      <c r="B281" s="17" t="n"/>
      <c r="C281" s="7" t="n"/>
    </row>
    <row r="282">
      <c r="A282" s="7" t="n"/>
      <c r="B282" s="17" t="n"/>
      <c r="C282" s="7" t="n"/>
    </row>
    <row r="283">
      <c r="A283" s="7" t="n"/>
      <c r="B283" s="17" t="n"/>
      <c r="C283" s="7" t="n"/>
    </row>
    <row r="284">
      <c r="A284" s="7" t="n"/>
      <c r="B284" s="17" t="n"/>
      <c r="C284" s="7" t="n"/>
    </row>
    <row r="285">
      <c r="A285" s="7" t="n"/>
      <c r="B285" s="17" t="n"/>
      <c r="C285" s="7" t="n"/>
    </row>
    <row r="286">
      <c r="A286" s="7" t="n"/>
      <c r="B286" s="17" t="n"/>
      <c r="C286" s="7" t="n"/>
    </row>
    <row r="287">
      <c r="A287" s="7" t="n"/>
      <c r="B287" s="17" t="n"/>
      <c r="C287" s="7" t="n"/>
    </row>
    <row r="288">
      <c r="A288" s="7" t="n"/>
      <c r="B288" s="17" t="n"/>
      <c r="C288" s="7" t="n"/>
    </row>
    <row r="289">
      <c r="A289" s="7" t="n"/>
      <c r="B289" s="17" t="n"/>
      <c r="C289" s="7" t="n"/>
    </row>
    <row r="290">
      <c r="A290" s="7" t="n"/>
      <c r="B290" s="17" t="n"/>
      <c r="C290" s="7" t="n"/>
    </row>
    <row r="291">
      <c r="A291" s="7" t="n"/>
      <c r="B291" s="17" t="n"/>
      <c r="C291" s="7" t="n"/>
    </row>
    <row r="292">
      <c r="A292" s="7" t="n"/>
      <c r="B292" s="17" t="n"/>
      <c r="C292" s="7" t="n"/>
    </row>
    <row r="293">
      <c r="A293" s="7" t="n"/>
      <c r="B293" s="17" t="n"/>
      <c r="C293" s="7" t="n"/>
    </row>
    <row r="294">
      <c r="A294" s="7" t="n"/>
      <c r="B294" s="17" t="n"/>
      <c r="C294" s="7" t="n"/>
    </row>
    <row r="295">
      <c r="A295" s="7" t="n"/>
      <c r="B295" s="17" t="n"/>
      <c r="C295" s="7" t="n"/>
    </row>
    <row r="296">
      <c r="A296" s="7" t="n"/>
      <c r="B296" s="17" t="n"/>
      <c r="C296" s="7" t="n"/>
    </row>
    <row r="297">
      <c r="A297" s="7" t="n"/>
      <c r="B297" s="17" t="n"/>
      <c r="C297" s="7" t="n"/>
    </row>
    <row r="298">
      <c r="A298" s="7" t="n"/>
      <c r="B298" s="17" t="n"/>
      <c r="C298" s="7" t="n"/>
    </row>
    <row r="299">
      <c r="A299" s="7" t="n"/>
      <c r="B299" s="17" t="n"/>
      <c r="C299" s="7" t="n"/>
    </row>
    <row r="300">
      <c r="A300" s="7" t="n"/>
      <c r="B300" s="17" t="n"/>
      <c r="C300" s="7" t="n"/>
    </row>
    <row r="301">
      <c r="A301" s="7" t="n"/>
      <c r="B301" s="17" t="n"/>
      <c r="C301" s="7" t="n"/>
    </row>
    <row r="302">
      <c r="A302" s="7" t="n"/>
      <c r="B302" s="17" t="n"/>
      <c r="C302" s="7" t="n"/>
    </row>
    <row r="303">
      <c r="A303" s="7" t="n"/>
      <c r="B303" s="17" t="n"/>
      <c r="C303" s="7" t="n"/>
    </row>
    <row r="304">
      <c r="A304" s="7" t="n"/>
      <c r="B304" s="17" t="n"/>
      <c r="C304" s="7" t="n"/>
    </row>
  </sheetData>
  <dataValidations count="1">
    <dataValidation sqref="B5:B304" showDropDown="0" showInputMessage="1" showErrorMessage="1" allowBlank="1" errorTitle="Whole numbers only" error="Use a whole number from 0 to 999." promptTitle="Enter a headcount" prompt="Enter a whole number from 0 to 999." type="whole" operator="between">
      <formula1>0</formula1>
      <formula2>999</formula2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tabColor rgb="0070AD47"/>
    <outlinePr summaryBelow="1" summaryRight="1"/>
    <pageSetUpPr fitToPage="1"/>
  </sheetPr>
  <dimension ref="A1:G304"/>
  <sheetViews>
    <sheetView zoomScale="9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38" customWidth="1" min="2" max="2"/>
    <col width="34" customWidth="1" min="3" max="3"/>
    <col width="32" customWidth="1" min="4" max="4"/>
    <col width="3" customWidth="1" min="5" max="5"/>
    <col width="26" customWidth="1" min="6" max="6"/>
    <col width="15" customWidth="1" min="7" max="7"/>
  </cols>
  <sheetData>
    <row r="1" ht="27" customHeight="1">
      <c r="A1" s="14" t="inlineStr">
        <is>
          <t>Mahendi Guest List</t>
        </is>
      </c>
    </row>
    <row r="2">
      <c r="A2" s="15" t="inlineStr">
        <is>
          <t>Pick an existing name from the dropdown or type a new name. The headcount fills from Guest Directory when available and remains editable.</t>
        </is>
      </c>
      <c r="F2" s="18" t="inlineStr">
        <is>
          <t>Guest entries</t>
        </is>
      </c>
      <c r="G2" s="19">
        <f>COUNTIF(B5:B304,"?*")</f>
        <v/>
      </c>
    </row>
    <row r="3">
      <c r="A3" s="16">
        <f>HYPERLINK("#Summary!A1","← Back to Summary")</f>
        <v/>
      </c>
      <c r="F3" s="18" t="inlineStr">
        <is>
          <t>Total guests</t>
        </is>
      </c>
      <c r="G3" s="19">
        <f>SUM(C5:C304)</f>
        <v/>
      </c>
    </row>
    <row r="4" ht="34" customHeight="1">
      <c r="A4" s="6" t="inlineStr">
        <is>
          <t>S.No</t>
        </is>
      </c>
      <c r="B4" s="6" t="inlineStr">
        <is>
          <t>Guest Name</t>
        </is>
      </c>
      <c r="C4" s="6" t="inlineStr">
        <is>
          <t>Family Members / Total People</t>
        </is>
      </c>
      <c r="D4" s="6" t="inlineStr">
        <is>
          <t>Notes</t>
        </is>
      </c>
      <c r="F4" s="20" t="inlineStr">
        <is>
          <t>Count each party exactly as you want it included in the total.</t>
        </is>
      </c>
    </row>
    <row r="5">
      <c r="A5" s="21">
        <f>IF(B5="","",ROW()-4)</f>
        <v/>
      </c>
      <c r="B5" s="7" t="inlineStr">
        <is>
          <t>shree ganeshay namah</t>
        </is>
      </c>
      <c r="C5" s="22" t="n">
        <v>0</v>
      </c>
      <c r="D5" s="7" t="n"/>
    </row>
    <row r="6">
      <c r="A6" s="21">
        <f>IF(B6="","",ROW()-4)</f>
        <v/>
      </c>
      <c r="B6" s="7" t="inlineStr">
        <is>
          <t>shree bherulalji</t>
        </is>
      </c>
      <c r="C6" s="22" t="n">
        <v>4</v>
      </c>
      <c r="D6" s="7" t="n"/>
    </row>
    <row r="7">
      <c r="A7" s="21">
        <f>IF(B7="","",ROW()-4)</f>
        <v/>
      </c>
      <c r="B7" s="7" t="inlineStr">
        <is>
          <t>kamlesh shah</t>
        </is>
      </c>
      <c r="C7" s="22" t="n">
        <v>6</v>
      </c>
      <c r="D7" s="7" t="n"/>
    </row>
    <row r="8">
      <c r="A8" s="21">
        <f>IF(B8="","",ROW()-4)</f>
        <v/>
      </c>
      <c r="B8" s="7" t="inlineStr">
        <is>
          <t>dinesh jagetiya</t>
        </is>
      </c>
      <c r="C8" s="22" t="n">
        <v>4</v>
      </c>
      <c r="D8" s="7" t="n"/>
    </row>
    <row r="9">
      <c r="A9" s="21">
        <f>IF(B9="","",ROW()-4)</f>
        <v/>
      </c>
      <c r="B9" s="7" t="inlineStr">
        <is>
          <t>lalit jagetiya</t>
        </is>
      </c>
      <c r="C9" s="22" t="n">
        <v>4</v>
      </c>
      <c r="D9" s="7" t="n"/>
    </row>
    <row r="10">
      <c r="A10" s="21">
        <f>IF(B10="","",ROW()-4)</f>
        <v/>
      </c>
      <c r="B10" s="7" t="inlineStr">
        <is>
          <t>shree sundarlalji</t>
        </is>
      </c>
      <c r="C10" s="22" t="n">
        <v>4</v>
      </c>
      <c r="D10" s="7" t="n"/>
    </row>
    <row r="11">
      <c r="A11" s="21">
        <f>IF(B11="","",ROW()-4)</f>
        <v/>
      </c>
      <c r="B11" s="7" t="inlineStr">
        <is>
          <t>anil jagetiya</t>
        </is>
      </c>
      <c r="C11" s="22" t="n">
        <v>2</v>
      </c>
      <c r="D11" s="7" t="n"/>
    </row>
    <row r="12">
      <c r="A12" s="21">
        <f>IF(B12="","",ROW()-4)</f>
        <v/>
      </c>
      <c r="B12" s="7" t="inlineStr">
        <is>
          <t>rajesh jagetiya</t>
        </is>
      </c>
      <c r="C12" s="22" t="n">
        <v>2</v>
      </c>
      <c r="D12" s="7" t="n"/>
    </row>
    <row r="13">
      <c r="A13" s="21">
        <f>IF(B13="","",ROW()-4)</f>
        <v/>
      </c>
      <c r="B13" s="7" t="inlineStr">
        <is>
          <t>ganpat anand</t>
        </is>
      </c>
      <c r="C13" s="22" t="n">
        <v>4</v>
      </c>
      <c r="D13" s="7" t="n"/>
    </row>
    <row r="14">
      <c r="A14" s="21">
        <f>IF(B14="","",ROW()-4)</f>
        <v/>
      </c>
      <c r="B14" s="7" t="inlineStr">
        <is>
          <t>pintu anand</t>
        </is>
      </c>
      <c r="C14" s="22" t="n">
        <v>4</v>
      </c>
      <c r="D14" s="7" t="n"/>
    </row>
    <row r="15">
      <c r="A15" s="21">
        <f>IF(B15="","",ROW()-4)</f>
        <v/>
      </c>
      <c r="B15" s="7" t="inlineStr">
        <is>
          <t>manoj anand</t>
        </is>
      </c>
      <c r="C15" s="22" t="n">
        <v>4</v>
      </c>
      <c r="D15" s="7" t="n"/>
    </row>
    <row r="16">
      <c r="A16" s="21">
        <f>IF(B16="","",ROW()-4)</f>
        <v/>
      </c>
      <c r="B16" s="7" t="inlineStr">
        <is>
          <t>piyushbhai madhiwala</t>
        </is>
      </c>
      <c r="C16" s="22" t="n">
        <v>3</v>
      </c>
      <c r="D16" s="7" t="n"/>
    </row>
    <row r="17">
      <c r="A17" s="21">
        <f>IF(B17="","",ROW()-4)</f>
        <v/>
      </c>
      <c r="B17" s="7" t="inlineStr">
        <is>
          <t>sanjay ji bhopal</t>
        </is>
      </c>
      <c r="C17" s="22" t="n">
        <v>9</v>
      </c>
      <c r="D17" s="7" t="n"/>
    </row>
    <row r="18">
      <c r="A18" s="21">
        <f>IF(B18="","",ROW()-4)</f>
        <v/>
      </c>
      <c r="B18" s="7" t="inlineStr">
        <is>
          <t>nilesh bhatt</t>
        </is>
      </c>
      <c r="C18" s="22" t="n">
        <v>5</v>
      </c>
      <c r="D18" s="7" t="n"/>
    </row>
    <row r="19">
      <c r="A19" s="21">
        <f>IF(B19="","",ROW()-4)</f>
        <v/>
      </c>
      <c r="B19" s="7" t="inlineStr">
        <is>
          <t>nirav</t>
        </is>
      </c>
      <c r="C19" s="22" t="n">
        <v>2</v>
      </c>
      <c r="D19" s="7" t="n"/>
    </row>
    <row r="20">
      <c r="A20" s="21">
        <f>IF(B20="","",ROW()-4)</f>
        <v/>
      </c>
      <c r="B20" s="7" t="inlineStr">
        <is>
          <t>yogesh</t>
        </is>
      </c>
      <c r="C20" s="22" t="n">
        <v>2</v>
      </c>
      <c r="D20" s="7" t="n"/>
    </row>
    <row r="21">
      <c r="A21" s="21">
        <f>IF(B21="","",ROW()-4)</f>
        <v/>
      </c>
      <c r="B21" s="7" t="inlineStr">
        <is>
          <t>rakesh pathak</t>
        </is>
      </c>
      <c r="C21" s="22" t="n">
        <v>1</v>
      </c>
      <c r="D21" s="7" t="n"/>
    </row>
    <row r="22">
      <c r="A22" s="21">
        <f>IF(B22="","",ROW()-4)</f>
        <v/>
      </c>
      <c r="B22" s="7" t="inlineStr">
        <is>
          <t>shankarlalji</t>
        </is>
      </c>
      <c r="C22" s="22" t="n">
        <v>0</v>
      </c>
      <c r="D22" s="7" t="n"/>
    </row>
    <row r="23">
      <c r="A23" s="21">
        <f>IF(B23="","",ROW()-4)</f>
        <v/>
      </c>
      <c r="B23" s="7" t="inlineStr">
        <is>
          <t>shankarlalji mandowara family</t>
        </is>
      </c>
      <c r="C23" s="22" t="n">
        <v>13</v>
      </c>
      <c r="D23" s="7" t="n"/>
    </row>
    <row r="24">
      <c r="A24" s="21">
        <f>IF(B24="","",ROW()-4)</f>
        <v/>
      </c>
      <c r="B24" s="7" t="inlineStr">
        <is>
          <t>satyanarayaji mandowara</t>
        </is>
      </c>
      <c r="C24" s="22" t="n">
        <v>7</v>
      </c>
      <c r="D24" s="7" t="n"/>
    </row>
    <row r="25">
      <c r="A25" s="21">
        <f>IF(B25="","",ROW()-4)</f>
        <v/>
      </c>
      <c r="B25" s="7" t="inlineStr">
        <is>
          <t>radhika</t>
        </is>
      </c>
      <c r="C25" s="22" t="n">
        <v>1</v>
      </c>
      <c r="D25" s="7" t="n"/>
    </row>
    <row r="26">
      <c r="A26" s="21">
        <f>IF(B26="","",ROW()-4)</f>
        <v/>
      </c>
      <c r="B26" s="7" t="inlineStr">
        <is>
          <t>vishal jagetiya</t>
        </is>
      </c>
      <c r="C26" s="22" t="n">
        <v>2</v>
      </c>
      <c r="D26" s="7" t="n"/>
    </row>
    <row r="27">
      <c r="A27" s="21">
        <f>IF(B27="","",ROW()-4)</f>
        <v/>
      </c>
      <c r="B27" s="7" t="inlineStr">
        <is>
          <t>kantibhaishab</t>
        </is>
      </c>
      <c r="C27" s="22" t="n">
        <v>3</v>
      </c>
      <c r="D27" s="7" t="n"/>
    </row>
    <row r="28">
      <c r="A28" s="21">
        <f>IF(B28="","",ROW()-4)</f>
        <v/>
      </c>
      <c r="B28" s="7" t="inlineStr">
        <is>
          <t>jitindharmin</t>
        </is>
      </c>
      <c r="C28" s="22" t="n">
        <v>5</v>
      </c>
      <c r="D28" s="7" t="n"/>
    </row>
    <row r="29">
      <c r="A29" s="21">
        <f>IF(B29="","",ROW()-4)</f>
        <v/>
      </c>
      <c r="B29" s="7" t="inlineStr">
        <is>
          <t>upendrakumar family</t>
        </is>
      </c>
      <c r="C29" s="22" t="n">
        <v>7</v>
      </c>
      <c r="D29" s="7" t="n"/>
    </row>
    <row r="30">
      <c r="A30" s="21">
        <f>IF(B30="","",ROW()-4)</f>
        <v/>
      </c>
      <c r="B30" s="7" t="inlineStr">
        <is>
          <t>gunvantbhai</t>
        </is>
      </c>
      <c r="C30" s="22" t="n">
        <v>5</v>
      </c>
      <c r="D30" s="7" t="n"/>
    </row>
    <row r="31">
      <c r="A31" s="21">
        <f>IF(B31="","",ROW()-4)</f>
        <v/>
      </c>
      <c r="B31" s="7" t="inlineStr">
        <is>
          <t>jagdishbhai</t>
        </is>
      </c>
      <c r="C31" s="22" t="n">
        <v>3</v>
      </c>
      <c r="D31" s="7" t="n"/>
    </row>
    <row r="32">
      <c r="A32" s="21">
        <f>IF(B32="","",ROW()-4)</f>
        <v/>
      </c>
      <c r="B32" s="7" t="inlineStr">
        <is>
          <t>nimeshbhai kesariya</t>
        </is>
      </c>
      <c r="C32" s="22" t="n">
        <v>2</v>
      </c>
      <c r="D32" s="7" t="n"/>
    </row>
    <row r="33">
      <c r="A33" s="21">
        <f>IF(B33="","",ROW()-4)</f>
        <v/>
      </c>
      <c r="B33" s="7" t="inlineStr">
        <is>
          <t>darpan patel rakesh shah</t>
        </is>
      </c>
      <c r="C33" s="22" t="n">
        <v>4</v>
      </c>
      <c r="D33" s="7" t="n"/>
    </row>
    <row r="34">
      <c r="A34" s="21">
        <f>IF(B34="","",ROW()-4)</f>
        <v/>
      </c>
      <c r="B34" s="7" t="inlineStr">
        <is>
          <t>sanjay patel</t>
        </is>
      </c>
      <c r="C34" s="22" t="n">
        <v>1</v>
      </c>
      <c r="D34" s="7" t="n"/>
    </row>
    <row r="35">
      <c r="A35" s="21">
        <f>IF(B35="","",ROW()-4)</f>
        <v/>
      </c>
      <c r="B35" s="7" t="inlineStr">
        <is>
          <t>sanjay kothari</t>
        </is>
      </c>
      <c r="C35" s="22" t="n">
        <v>3</v>
      </c>
      <c r="D35" s="7" t="n"/>
    </row>
    <row r="36">
      <c r="A36" s="21">
        <f>IF(B36="","",ROW()-4)</f>
        <v/>
      </c>
      <c r="B36" s="7" t="n"/>
      <c r="C36" s="22">
        <f>IF(B36="","",IFERROR(VLOOKUP(B36,'Guest Directory'!$A$5:$B$304,2,FALSE),""))</f>
        <v/>
      </c>
      <c r="D36" s="7" t="n"/>
    </row>
    <row r="37">
      <c r="A37" s="21">
        <f>IF(B37="","",ROW()-4)</f>
        <v/>
      </c>
      <c r="B37" s="7" t="n"/>
      <c r="C37" s="22">
        <f>IF(B37="","",IFERROR(VLOOKUP(B37,'Guest Directory'!$A$5:$B$304,2,FALSE),""))</f>
        <v/>
      </c>
      <c r="D37" s="7" t="n"/>
    </row>
    <row r="38">
      <c r="A38" s="21">
        <f>IF(B38="","",ROW()-4)</f>
        <v/>
      </c>
      <c r="B38" s="7" t="n"/>
      <c r="C38" s="22">
        <f>IF(B38="","",IFERROR(VLOOKUP(B38,'Guest Directory'!$A$5:$B$304,2,FALSE),""))</f>
        <v/>
      </c>
      <c r="D38" s="7" t="n"/>
    </row>
    <row r="39">
      <c r="A39" s="21">
        <f>IF(B39="","",ROW()-4)</f>
        <v/>
      </c>
      <c r="B39" s="7" t="n"/>
      <c r="C39" s="22">
        <f>IF(B39="","",IFERROR(VLOOKUP(B39,'Guest Directory'!$A$5:$B$304,2,FALSE),""))</f>
        <v/>
      </c>
      <c r="D39" s="7" t="n"/>
    </row>
    <row r="40">
      <c r="A40" s="21">
        <f>IF(B40="","",ROW()-4)</f>
        <v/>
      </c>
      <c r="B40" s="7" t="n"/>
      <c r="C40" s="22">
        <f>IF(B40="","",IFERROR(VLOOKUP(B40,'Guest Directory'!$A$5:$B$304,2,FALSE),""))</f>
        <v/>
      </c>
      <c r="D40" s="7" t="n"/>
    </row>
    <row r="41">
      <c r="A41" s="21">
        <f>IF(B41="","",ROW()-4)</f>
        <v/>
      </c>
      <c r="B41" s="7" t="n"/>
      <c r="C41" s="22">
        <f>IF(B41="","",IFERROR(VLOOKUP(B41,'Guest Directory'!$A$5:$B$304,2,FALSE),""))</f>
        <v/>
      </c>
      <c r="D41" s="7" t="n"/>
    </row>
    <row r="42">
      <c r="A42" s="21">
        <f>IF(B42="","",ROW()-4)</f>
        <v/>
      </c>
      <c r="B42" s="7" t="n"/>
      <c r="C42" s="22">
        <f>IF(B42="","",IFERROR(VLOOKUP(B42,'Guest Directory'!$A$5:$B$304,2,FALSE),""))</f>
        <v/>
      </c>
      <c r="D42" s="7" t="n"/>
    </row>
    <row r="43">
      <c r="A43" s="21">
        <f>IF(B43="","",ROW()-4)</f>
        <v/>
      </c>
      <c r="B43" s="7" t="n"/>
      <c r="C43" s="22">
        <f>IF(B43="","",IFERROR(VLOOKUP(B43,'Guest Directory'!$A$5:$B$304,2,FALSE),""))</f>
        <v/>
      </c>
      <c r="D43" s="7" t="n"/>
    </row>
    <row r="44">
      <c r="A44" s="21">
        <f>IF(B44="","",ROW()-4)</f>
        <v/>
      </c>
      <c r="B44" s="7" t="n"/>
      <c r="C44" s="22">
        <f>IF(B44="","",IFERROR(VLOOKUP(B44,'Guest Directory'!$A$5:$B$304,2,FALSE),""))</f>
        <v/>
      </c>
      <c r="D44" s="7" t="n"/>
    </row>
    <row r="45">
      <c r="A45" s="21">
        <f>IF(B45="","",ROW()-4)</f>
        <v/>
      </c>
      <c r="B45" s="7" t="n"/>
      <c r="C45" s="22">
        <f>IF(B45="","",IFERROR(VLOOKUP(B45,'Guest Directory'!$A$5:$B$304,2,FALSE),""))</f>
        <v/>
      </c>
      <c r="D45" s="7" t="n"/>
    </row>
    <row r="46">
      <c r="A46" s="21">
        <f>IF(B46="","",ROW()-4)</f>
        <v/>
      </c>
      <c r="B46" s="7" t="n"/>
      <c r="C46" s="22">
        <f>IF(B46="","",IFERROR(VLOOKUP(B46,'Guest Directory'!$A$5:$B$304,2,FALSE),""))</f>
        <v/>
      </c>
      <c r="D46" s="7" t="n"/>
    </row>
    <row r="47">
      <c r="A47" s="21">
        <f>IF(B47="","",ROW()-4)</f>
        <v/>
      </c>
      <c r="B47" s="7" t="n"/>
      <c r="C47" s="22">
        <f>IF(B47="","",IFERROR(VLOOKUP(B47,'Guest Directory'!$A$5:$B$304,2,FALSE),""))</f>
        <v/>
      </c>
      <c r="D47" s="7" t="n"/>
    </row>
    <row r="48">
      <c r="A48" s="21">
        <f>IF(B48="","",ROW()-4)</f>
        <v/>
      </c>
      <c r="B48" s="7" t="n"/>
      <c r="C48" s="22">
        <f>IF(B48="","",IFERROR(VLOOKUP(B48,'Guest Directory'!$A$5:$B$304,2,FALSE),""))</f>
        <v/>
      </c>
      <c r="D48" s="7" t="n"/>
    </row>
    <row r="49">
      <c r="A49" s="21">
        <f>IF(B49="","",ROW()-4)</f>
        <v/>
      </c>
      <c r="B49" s="7" t="n"/>
      <c r="C49" s="22">
        <f>IF(B49="","",IFERROR(VLOOKUP(B49,'Guest Directory'!$A$5:$B$304,2,FALSE),""))</f>
        <v/>
      </c>
      <c r="D49" s="7" t="n"/>
    </row>
    <row r="50">
      <c r="A50" s="21">
        <f>IF(B50="","",ROW()-4)</f>
        <v/>
      </c>
      <c r="B50" s="7" t="n"/>
      <c r="C50" s="22">
        <f>IF(B50="","",IFERROR(VLOOKUP(B50,'Guest Directory'!$A$5:$B$304,2,FALSE),""))</f>
        <v/>
      </c>
      <c r="D50" s="7" t="n"/>
    </row>
    <row r="51">
      <c r="A51" s="21">
        <f>IF(B51="","",ROW()-4)</f>
        <v/>
      </c>
      <c r="B51" s="7" t="n"/>
      <c r="C51" s="22">
        <f>IF(B51="","",IFERROR(VLOOKUP(B51,'Guest Directory'!$A$5:$B$304,2,FALSE),""))</f>
        <v/>
      </c>
      <c r="D51" s="7" t="n"/>
    </row>
    <row r="52">
      <c r="A52" s="21">
        <f>IF(B52="","",ROW()-4)</f>
        <v/>
      </c>
      <c r="B52" s="7" t="n"/>
      <c r="C52" s="22">
        <f>IF(B52="","",IFERROR(VLOOKUP(B52,'Guest Directory'!$A$5:$B$304,2,FALSE),""))</f>
        <v/>
      </c>
      <c r="D52" s="7" t="n"/>
    </row>
    <row r="53">
      <c r="A53" s="21">
        <f>IF(B53="","",ROW()-4)</f>
        <v/>
      </c>
      <c r="B53" s="7" t="n"/>
      <c r="C53" s="22">
        <f>IF(B53="","",IFERROR(VLOOKUP(B53,'Guest Directory'!$A$5:$B$304,2,FALSE),""))</f>
        <v/>
      </c>
      <c r="D53" s="7" t="n"/>
    </row>
    <row r="54">
      <c r="A54" s="21">
        <f>IF(B54="","",ROW()-4)</f>
        <v/>
      </c>
      <c r="B54" s="7" t="n"/>
      <c r="C54" s="22">
        <f>IF(B54="","",IFERROR(VLOOKUP(B54,'Guest Directory'!$A$5:$B$304,2,FALSE),""))</f>
        <v/>
      </c>
      <c r="D54" s="7" t="n"/>
    </row>
    <row r="55">
      <c r="A55" s="21">
        <f>IF(B55="","",ROW()-4)</f>
        <v/>
      </c>
      <c r="B55" s="7" t="n"/>
      <c r="C55" s="22">
        <f>IF(B55="","",IFERROR(VLOOKUP(B55,'Guest Directory'!$A$5:$B$304,2,FALSE),""))</f>
        <v/>
      </c>
      <c r="D55" s="7" t="n"/>
    </row>
    <row r="56">
      <c r="A56" s="21">
        <f>IF(B56="","",ROW()-4)</f>
        <v/>
      </c>
      <c r="B56" s="7" t="n"/>
      <c r="C56" s="22">
        <f>IF(B56="","",IFERROR(VLOOKUP(B56,'Guest Directory'!$A$5:$B$304,2,FALSE),""))</f>
        <v/>
      </c>
      <c r="D56" s="7" t="n"/>
    </row>
    <row r="57">
      <c r="A57" s="21">
        <f>IF(B57="","",ROW()-4)</f>
        <v/>
      </c>
      <c r="B57" s="7" t="n"/>
      <c r="C57" s="22">
        <f>IF(B57="","",IFERROR(VLOOKUP(B57,'Guest Directory'!$A$5:$B$304,2,FALSE),""))</f>
        <v/>
      </c>
      <c r="D57" s="7" t="n"/>
    </row>
    <row r="58">
      <c r="A58" s="21">
        <f>IF(B58="","",ROW()-4)</f>
        <v/>
      </c>
      <c r="B58" s="7" t="n"/>
      <c r="C58" s="22">
        <f>IF(B58="","",IFERROR(VLOOKUP(B58,'Guest Directory'!$A$5:$B$304,2,FALSE),""))</f>
        <v/>
      </c>
      <c r="D58" s="7" t="n"/>
    </row>
    <row r="59">
      <c r="A59" s="21">
        <f>IF(B59="","",ROW()-4)</f>
        <v/>
      </c>
      <c r="B59" s="7" t="n"/>
      <c r="C59" s="22">
        <f>IF(B59="","",IFERROR(VLOOKUP(B59,'Guest Directory'!$A$5:$B$304,2,FALSE),""))</f>
        <v/>
      </c>
      <c r="D59" s="7" t="n"/>
    </row>
    <row r="60">
      <c r="A60" s="21">
        <f>IF(B60="","",ROW()-4)</f>
        <v/>
      </c>
      <c r="B60" s="7" t="n"/>
      <c r="C60" s="22">
        <f>IF(B60="","",IFERROR(VLOOKUP(B60,'Guest Directory'!$A$5:$B$304,2,FALSE),""))</f>
        <v/>
      </c>
      <c r="D60" s="7" t="n"/>
    </row>
    <row r="61">
      <c r="A61" s="21">
        <f>IF(B61="","",ROW()-4)</f>
        <v/>
      </c>
      <c r="B61" s="7" t="n"/>
      <c r="C61" s="22">
        <f>IF(B61="","",IFERROR(VLOOKUP(B61,'Guest Directory'!$A$5:$B$304,2,FALSE),""))</f>
        <v/>
      </c>
      <c r="D61" s="7" t="n"/>
    </row>
    <row r="62">
      <c r="A62" s="21">
        <f>IF(B62="","",ROW()-4)</f>
        <v/>
      </c>
      <c r="B62" s="7" t="n"/>
      <c r="C62" s="22">
        <f>IF(B62="","",IFERROR(VLOOKUP(B62,'Guest Directory'!$A$5:$B$304,2,FALSE),""))</f>
        <v/>
      </c>
      <c r="D62" s="7" t="n"/>
    </row>
    <row r="63">
      <c r="A63" s="21">
        <f>IF(B63="","",ROW()-4)</f>
        <v/>
      </c>
      <c r="B63" s="7" t="n"/>
      <c r="C63" s="22">
        <f>IF(B63="","",IFERROR(VLOOKUP(B63,'Guest Directory'!$A$5:$B$304,2,FALSE),""))</f>
        <v/>
      </c>
      <c r="D63" s="7" t="n"/>
    </row>
    <row r="64">
      <c r="A64" s="21">
        <f>IF(B64="","",ROW()-4)</f>
        <v/>
      </c>
      <c r="B64" s="7" t="n"/>
      <c r="C64" s="22">
        <f>IF(B64="","",IFERROR(VLOOKUP(B64,'Guest Directory'!$A$5:$B$304,2,FALSE),""))</f>
        <v/>
      </c>
      <c r="D64" s="7" t="n"/>
    </row>
    <row r="65">
      <c r="A65" s="21">
        <f>IF(B65="","",ROW()-4)</f>
        <v/>
      </c>
      <c r="B65" s="7" t="n"/>
      <c r="C65" s="22">
        <f>IF(B65="","",IFERROR(VLOOKUP(B65,'Guest Directory'!$A$5:$B$304,2,FALSE),""))</f>
        <v/>
      </c>
      <c r="D65" s="7" t="n"/>
    </row>
    <row r="66">
      <c r="A66" s="21">
        <f>IF(B66="","",ROW()-4)</f>
        <v/>
      </c>
      <c r="B66" s="7" t="n"/>
      <c r="C66" s="22">
        <f>IF(B66="","",IFERROR(VLOOKUP(B66,'Guest Directory'!$A$5:$B$304,2,FALSE),""))</f>
        <v/>
      </c>
      <c r="D66" s="7" t="n"/>
    </row>
    <row r="67">
      <c r="A67" s="21">
        <f>IF(B67="","",ROW()-4)</f>
        <v/>
      </c>
      <c r="B67" s="7" t="n"/>
      <c r="C67" s="22">
        <f>IF(B67="","",IFERROR(VLOOKUP(B67,'Guest Directory'!$A$5:$B$304,2,FALSE),""))</f>
        <v/>
      </c>
      <c r="D67" s="7" t="n"/>
    </row>
    <row r="68">
      <c r="A68" s="21">
        <f>IF(B68="","",ROW()-4)</f>
        <v/>
      </c>
      <c r="B68" s="7" t="n"/>
      <c r="C68" s="22">
        <f>IF(B68="","",IFERROR(VLOOKUP(B68,'Guest Directory'!$A$5:$B$304,2,FALSE),""))</f>
        <v/>
      </c>
      <c r="D68" s="7" t="n"/>
    </row>
    <row r="69">
      <c r="A69" s="21">
        <f>IF(B69="","",ROW()-4)</f>
        <v/>
      </c>
      <c r="B69" s="7" t="n"/>
      <c r="C69" s="22">
        <f>IF(B69="","",IFERROR(VLOOKUP(B69,'Guest Directory'!$A$5:$B$304,2,FALSE),""))</f>
        <v/>
      </c>
      <c r="D69" s="7" t="n"/>
    </row>
    <row r="70">
      <c r="A70" s="21">
        <f>IF(B70="","",ROW()-4)</f>
        <v/>
      </c>
      <c r="B70" s="7" t="n"/>
      <c r="C70" s="22">
        <f>IF(B70="","",IFERROR(VLOOKUP(B70,'Guest Directory'!$A$5:$B$304,2,FALSE),""))</f>
        <v/>
      </c>
      <c r="D70" s="7" t="n"/>
    </row>
    <row r="71">
      <c r="A71" s="21">
        <f>IF(B71="","",ROW()-4)</f>
        <v/>
      </c>
      <c r="B71" s="7" t="n"/>
      <c r="C71" s="22">
        <f>IF(B71="","",IFERROR(VLOOKUP(B71,'Guest Directory'!$A$5:$B$304,2,FALSE),""))</f>
        <v/>
      </c>
      <c r="D71" s="7" t="n"/>
    </row>
    <row r="72">
      <c r="A72" s="21">
        <f>IF(B72="","",ROW()-4)</f>
        <v/>
      </c>
      <c r="B72" s="7" t="n"/>
      <c r="C72" s="22">
        <f>IF(B72="","",IFERROR(VLOOKUP(B72,'Guest Directory'!$A$5:$B$304,2,FALSE),""))</f>
        <v/>
      </c>
      <c r="D72" s="7" t="n"/>
    </row>
    <row r="73">
      <c r="A73" s="21">
        <f>IF(B73="","",ROW()-4)</f>
        <v/>
      </c>
      <c r="B73" s="7" t="n"/>
      <c r="C73" s="22">
        <f>IF(B73="","",IFERROR(VLOOKUP(B73,'Guest Directory'!$A$5:$B$304,2,FALSE),""))</f>
        <v/>
      </c>
      <c r="D73" s="7" t="n"/>
    </row>
    <row r="74">
      <c r="A74" s="21">
        <f>IF(B74="","",ROW()-4)</f>
        <v/>
      </c>
      <c r="B74" s="7" t="n"/>
      <c r="C74" s="22">
        <f>IF(B74="","",IFERROR(VLOOKUP(B74,'Guest Directory'!$A$5:$B$304,2,FALSE),""))</f>
        <v/>
      </c>
      <c r="D74" s="7" t="n"/>
    </row>
    <row r="75">
      <c r="A75" s="21">
        <f>IF(B75="","",ROW()-4)</f>
        <v/>
      </c>
      <c r="B75" s="7" t="n"/>
      <c r="C75" s="22">
        <f>IF(B75="","",IFERROR(VLOOKUP(B75,'Guest Directory'!$A$5:$B$304,2,FALSE),""))</f>
        <v/>
      </c>
      <c r="D75" s="7" t="n"/>
    </row>
    <row r="76">
      <c r="A76" s="21">
        <f>IF(B76="","",ROW()-4)</f>
        <v/>
      </c>
      <c r="B76" s="7" t="n"/>
      <c r="C76" s="22">
        <f>IF(B76="","",IFERROR(VLOOKUP(B76,'Guest Directory'!$A$5:$B$304,2,FALSE),""))</f>
        <v/>
      </c>
      <c r="D76" s="7" t="n"/>
    </row>
    <row r="77">
      <c r="A77" s="21">
        <f>IF(B77="","",ROW()-4)</f>
        <v/>
      </c>
      <c r="B77" s="7" t="n"/>
      <c r="C77" s="22">
        <f>IF(B77="","",IFERROR(VLOOKUP(B77,'Guest Directory'!$A$5:$B$304,2,FALSE),""))</f>
        <v/>
      </c>
      <c r="D77" s="7" t="n"/>
    </row>
    <row r="78">
      <c r="A78" s="21">
        <f>IF(B78="","",ROW()-4)</f>
        <v/>
      </c>
      <c r="B78" s="7" t="n"/>
      <c r="C78" s="22">
        <f>IF(B78="","",IFERROR(VLOOKUP(B78,'Guest Directory'!$A$5:$B$304,2,FALSE),""))</f>
        <v/>
      </c>
      <c r="D78" s="7" t="n"/>
    </row>
    <row r="79">
      <c r="A79" s="21">
        <f>IF(B79="","",ROW()-4)</f>
        <v/>
      </c>
      <c r="B79" s="7" t="n"/>
      <c r="C79" s="22">
        <f>IF(B79="","",IFERROR(VLOOKUP(B79,'Guest Directory'!$A$5:$B$304,2,FALSE),""))</f>
        <v/>
      </c>
      <c r="D79" s="7" t="n"/>
    </row>
    <row r="80">
      <c r="A80" s="21">
        <f>IF(B80="","",ROW()-4)</f>
        <v/>
      </c>
      <c r="B80" s="7" t="n"/>
      <c r="C80" s="22">
        <f>IF(B80="","",IFERROR(VLOOKUP(B80,'Guest Directory'!$A$5:$B$304,2,FALSE),""))</f>
        <v/>
      </c>
      <c r="D80" s="7" t="n"/>
    </row>
    <row r="81">
      <c r="A81" s="21">
        <f>IF(B81="","",ROW()-4)</f>
        <v/>
      </c>
      <c r="B81" s="7" t="n"/>
      <c r="C81" s="22">
        <f>IF(B81="","",IFERROR(VLOOKUP(B81,'Guest Directory'!$A$5:$B$304,2,FALSE),""))</f>
        <v/>
      </c>
      <c r="D81" s="7" t="n"/>
    </row>
    <row r="82">
      <c r="A82" s="21">
        <f>IF(B82="","",ROW()-4)</f>
        <v/>
      </c>
      <c r="B82" s="7" t="n"/>
      <c r="C82" s="22">
        <f>IF(B82="","",IFERROR(VLOOKUP(B82,'Guest Directory'!$A$5:$B$304,2,FALSE),""))</f>
        <v/>
      </c>
      <c r="D82" s="7" t="n"/>
    </row>
    <row r="83">
      <c r="A83" s="21">
        <f>IF(B83="","",ROW()-4)</f>
        <v/>
      </c>
      <c r="B83" s="7" t="n"/>
      <c r="C83" s="22">
        <f>IF(B83="","",IFERROR(VLOOKUP(B83,'Guest Directory'!$A$5:$B$304,2,FALSE),""))</f>
        <v/>
      </c>
      <c r="D83" s="7" t="n"/>
    </row>
    <row r="84">
      <c r="A84" s="21">
        <f>IF(B84="","",ROW()-4)</f>
        <v/>
      </c>
      <c r="B84" s="7" t="n"/>
      <c r="C84" s="22">
        <f>IF(B84="","",IFERROR(VLOOKUP(B84,'Guest Directory'!$A$5:$B$304,2,FALSE),""))</f>
        <v/>
      </c>
      <c r="D84" s="7" t="n"/>
    </row>
    <row r="85">
      <c r="A85" s="21">
        <f>IF(B85="","",ROW()-4)</f>
        <v/>
      </c>
      <c r="B85" s="7" t="n"/>
      <c r="C85" s="22">
        <f>IF(B85="","",IFERROR(VLOOKUP(B85,'Guest Directory'!$A$5:$B$304,2,FALSE),""))</f>
        <v/>
      </c>
      <c r="D85" s="7" t="n"/>
    </row>
    <row r="86">
      <c r="A86" s="21">
        <f>IF(B86="","",ROW()-4)</f>
        <v/>
      </c>
      <c r="B86" s="7" t="n"/>
      <c r="C86" s="22">
        <f>IF(B86="","",IFERROR(VLOOKUP(B86,'Guest Directory'!$A$5:$B$304,2,FALSE),""))</f>
        <v/>
      </c>
      <c r="D86" s="7" t="n"/>
    </row>
    <row r="87">
      <c r="A87" s="21">
        <f>IF(B87="","",ROW()-4)</f>
        <v/>
      </c>
      <c r="B87" s="7" t="n"/>
      <c r="C87" s="22">
        <f>IF(B87="","",IFERROR(VLOOKUP(B87,'Guest Directory'!$A$5:$B$304,2,FALSE),""))</f>
        <v/>
      </c>
      <c r="D87" s="7" t="n"/>
    </row>
    <row r="88">
      <c r="A88" s="21">
        <f>IF(B88="","",ROW()-4)</f>
        <v/>
      </c>
      <c r="B88" s="7" t="n"/>
      <c r="C88" s="22">
        <f>IF(B88="","",IFERROR(VLOOKUP(B88,'Guest Directory'!$A$5:$B$304,2,FALSE),""))</f>
        <v/>
      </c>
      <c r="D88" s="7" t="n"/>
    </row>
    <row r="89">
      <c r="A89" s="21">
        <f>IF(B89="","",ROW()-4)</f>
        <v/>
      </c>
      <c r="B89" s="7" t="n"/>
      <c r="C89" s="22">
        <f>IF(B89="","",IFERROR(VLOOKUP(B89,'Guest Directory'!$A$5:$B$304,2,FALSE),""))</f>
        <v/>
      </c>
      <c r="D89" s="7" t="n"/>
    </row>
    <row r="90">
      <c r="A90" s="21">
        <f>IF(B90="","",ROW()-4)</f>
        <v/>
      </c>
      <c r="B90" s="7" t="n"/>
      <c r="C90" s="22">
        <f>IF(B90="","",IFERROR(VLOOKUP(B90,'Guest Directory'!$A$5:$B$304,2,FALSE),""))</f>
        <v/>
      </c>
      <c r="D90" s="7" t="n"/>
    </row>
    <row r="91">
      <c r="A91" s="21">
        <f>IF(B91="","",ROW()-4)</f>
        <v/>
      </c>
      <c r="B91" s="7" t="n"/>
      <c r="C91" s="22">
        <f>IF(B91="","",IFERROR(VLOOKUP(B91,'Guest Directory'!$A$5:$B$304,2,FALSE),""))</f>
        <v/>
      </c>
      <c r="D91" s="7" t="n"/>
    </row>
    <row r="92">
      <c r="A92" s="21">
        <f>IF(B92="","",ROW()-4)</f>
        <v/>
      </c>
      <c r="B92" s="7" t="n"/>
      <c r="C92" s="22">
        <f>IF(B92="","",IFERROR(VLOOKUP(B92,'Guest Directory'!$A$5:$B$304,2,FALSE),""))</f>
        <v/>
      </c>
      <c r="D92" s="7" t="n"/>
    </row>
    <row r="93">
      <c r="A93" s="21">
        <f>IF(B93="","",ROW()-4)</f>
        <v/>
      </c>
      <c r="B93" s="7" t="n"/>
      <c r="C93" s="22">
        <f>IF(B93="","",IFERROR(VLOOKUP(B93,'Guest Directory'!$A$5:$B$304,2,FALSE),""))</f>
        <v/>
      </c>
      <c r="D93" s="7" t="n"/>
    </row>
    <row r="94">
      <c r="A94" s="21">
        <f>IF(B94="","",ROW()-4)</f>
        <v/>
      </c>
      <c r="B94" s="7" t="n"/>
      <c r="C94" s="22">
        <f>IF(B94="","",IFERROR(VLOOKUP(B94,'Guest Directory'!$A$5:$B$304,2,FALSE),""))</f>
        <v/>
      </c>
      <c r="D94" s="7" t="n"/>
    </row>
    <row r="95">
      <c r="A95" s="21">
        <f>IF(B95="","",ROW()-4)</f>
        <v/>
      </c>
      <c r="B95" s="7" t="n"/>
      <c r="C95" s="22">
        <f>IF(B95="","",IFERROR(VLOOKUP(B95,'Guest Directory'!$A$5:$B$304,2,FALSE),""))</f>
        <v/>
      </c>
      <c r="D95" s="7" t="n"/>
    </row>
    <row r="96">
      <c r="A96" s="21">
        <f>IF(B96="","",ROW()-4)</f>
        <v/>
      </c>
      <c r="B96" s="7" t="n"/>
      <c r="C96" s="22">
        <f>IF(B96="","",IFERROR(VLOOKUP(B96,'Guest Directory'!$A$5:$B$304,2,FALSE),""))</f>
        <v/>
      </c>
      <c r="D96" s="7" t="n"/>
    </row>
    <row r="97">
      <c r="A97" s="21">
        <f>IF(B97="","",ROW()-4)</f>
        <v/>
      </c>
      <c r="B97" s="7" t="n"/>
      <c r="C97" s="22">
        <f>IF(B97="","",IFERROR(VLOOKUP(B97,'Guest Directory'!$A$5:$B$304,2,FALSE),""))</f>
        <v/>
      </c>
      <c r="D97" s="7" t="n"/>
    </row>
    <row r="98">
      <c r="A98" s="21">
        <f>IF(B98="","",ROW()-4)</f>
        <v/>
      </c>
      <c r="B98" s="7" t="n"/>
      <c r="C98" s="22">
        <f>IF(B98="","",IFERROR(VLOOKUP(B98,'Guest Directory'!$A$5:$B$304,2,FALSE),""))</f>
        <v/>
      </c>
      <c r="D98" s="7" t="n"/>
    </row>
    <row r="99">
      <c r="A99" s="21">
        <f>IF(B99="","",ROW()-4)</f>
        <v/>
      </c>
      <c r="B99" s="7" t="n"/>
      <c r="C99" s="22">
        <f>IF(B99="","",IFERROR(VLOOKUP(B99,'Guest Directory'!$A$5:$B$304,2,FALSE),""))</f>
        <v/>
      </c>
      <c r="D99" s="7" t="n"/>
    </row>
    <row r="100">
      <c r="A100" s="21">
        <f>IF(B100="","",ROW()-4)</f>
        <v/>
      </c>
      <c r="B100" s="7" t="n"/>
      <c r="C100" s="22">
        <f>IF(B100="","",IFERROR(VLOOKUP(B100,'Guest Directory'!$A$5:$B$304,2,FALSE),""))</f>
        <v/>
      </c>
      <c r="D100" s="7" t="n"/>
    </row>
    <row r="101">
      <c r="A101" s="21">
        <f>IF(B101="","",ROW()-4)</f>
        <v/>
      </c>
      <c r="B101" s="7" t="n"/>
      <c r="C101" s="22">
        <f>IF(B101="","",IFERROR(VLOOKUP(B101,'Guest Directory'!$A$5:$B$304,2,FALSE),""))</f>
        <v/>
      </c>
      <c r="D101" s="7" t="n"/>
    </row>
    <row r="102">
      <c r="A102" s="21">
        <f>IF(B102="","",ROW()-4)</f>
        <v/>
      </c>
      <c r="B102" s="7" t="n"/>
      <c r="C102" s="22">
        <f>IF(B102="","",IFERROR(VLOOKUP(B102,'Guest Directory'!$A$5:$B$304,2,FALSE),""))</f>
        <v/>
      </c>
      <c r="D102" s="7" t="n"/>
    </row>
    <row r="103">
      <c r="A103" s="21">
        <f>IF(B103="","",ROW()-4)</f>
        <v/>
      </c>
      <c r="B103" s="7" t="n"/>
      <c r="C103" s="22">
        <f>IF(B103="","",IFERROR(VLOOKUP(B103,'Guest Directory'!$A$5:$B$304,2,FALSE),""))</f>
        <v/>
      </c>
      <c r="D103" s="7" t="n"/>
    </row>
    <row r="104">
      <c r="A104" s="21">
        <f>IF(B104="","",ROW()-4)</f>
        <v/>
      </c>
      <c r="B104" s="7" t="n"/>
      <c r="C104" s="22">
        <f>IF(B104="","",IFERROR(VLOOKUP(B104,'Guest Directory'!$A$5:$B$304,2,FALSE),""))</f>
        <v/>
      </c>
      <c r="D104" s="7" t="n"/>
    </row>
    <row r="105">
      <c r="A105" s="21">
        <f>IF(B105="","",ROW()-4)</f>
        <v/>
      </c>
      <c r="B105" s="7" t="n"/>
      <c r="C105" s="22">
        <f>IF(B105="","",IFERROR(VLOOKUP(B105,'Guest Directory'!$A$5:$B$304,2,FALSE),""))</f>
        <v/>
      </c>
      <c r="D105" s="7" t="n"/>
    </row>
    <row r="106">
      <c r="A106" s="21">
        <f>IF(B106="","",ROW()-4)</f>
        <v/>
      </c>
      <c r="B106" s="7" t="n"/>
      <c r="C106" s="22">
        <f>IF(B106="","",IFERROR(VLOOKUP(B106,'Guest Directory'!$A$5:$B$304,2,FALSE),""))</f>
        <v/>
      </c>
      <c r="D106" s="7" t="n"/>
    </row>
    <row r="107">
      <c r="A107" s="21">
        <f>IF(B107="","",ROW()-4)</f>
        <v/>
      </c>
      <c r="B107" s="7" t="n"/>
      <c r="C107" s="22">
        <f>IF(B107="","",IFERROR(VLOOKUP(B107,'Guest Directory'!$A$5:$B$304,2,FALSE),""))</f>
        <v/>
      </c>
      <c r="D107" s="7" t="n"/>
    </row>
    <row r="108">
      <c r="A108" s="21">
        <f>IF(B108="","",ROW()-4)</f>
        <v/>
      </c>
      <c r="B108" s="7" t="n"/>
      <c r="C108" s="22">
        <f>IF(B108="","",IFERROR(VLOOKUP(B108,'Guest Directory'!$A$5:$B$304,2,FALSE),""))</f>
        <v/>
      </c>
      <c r="D108" s="7" t="n"/>
    </row>
    <row r="109">
      <c r="A109" s="21">
        <f>IF(B109="","",ROW()-4)</f>
        <v/>
      </c>
      <c r="B109" s="7" t="n"/>
      <c r="C109" s="22">
        <f>IF(B109="","",IFERROR(VLOOKUP(B109,'Guest Directory'!$A$5:$B$304,2,FALSE),""))</f>
        <v/>
      </c>
      <c r="D109" s="7" t="n"/>
    </row>
    <row r="110">
      <c r="A110" s="21">
        <f>IF(B110="","",ROW()-4)</f>
        <v/>
      </c>
      <c r="B110" s="7" t="n"/>
      <c r="C110" s="22">
        <f>IF(B110="","",IFERROR(VLOOKUP(B110,'Guest Directory'!$A$5:$B$304,2,FALSE),""))</f>
        <v/>
      </c>
      <c r="D110" s="7" t="n"/>
    </row>
    <row r="111">
      <c r="A111" s="21">
        <f>IF(B111="","",ROW()-4)</f>
        <v/>
      </c>
      <c r="B111" s="7" t="n"/>
      <c r="C111" s="22">
        <f>IF(B111="","",IFERROR(VLOOKUP(B111,'Guest Directory'!$A$5:$B$304,2,FALSE),""))</f>
        <v/>
      </c>
      <c r="D111" s="7" t="n"/>
    </row>
    <row r="112">
      <c r="A112" s="21">
        <f>IF(B112="","",ROW()-4)</f>
        <v/>
      </c>
      <c r="B112" s="7" t="n"/>
      <c r="C112" s="22">
        <f>IF(B112="","",IFERROR(VLOOKUP(B112,'Guest Directory'!$A$5:$B$304,2,FALSE),""))</f>
        <v/>
      </c>
      <c r="D112" s="7" t="n"/>
    </row>
    <row r="113">
      <c r="A113" s="21">
        <f>IF(B113="","",ROW()-4)</f>
        <v/>
      </c>
      <c r="B113" s="7" t="n"/>
      <c r="C113" s="22">
        <f>IF(B113="","",IFERROR(VLOOKUP(B113,'Guest Directory'!$A$5:$B$304,2,FALSE),""))</f>
        <v/>
      </c>
      <c r="D113" s="7" t="n"/>
    </row>
    <row r="114">
      <c r="A114" s="21">
        <f>IF(B114="","",ROW()-4)</f>
        <v/>
      </c>
      <c r="B114" s="7" t="n"/>
      <c r="C114" s="22">
        <f>IF(B114="","",IFERROR(VLOOKUP(B114,'Guest Directory'!$A$5:$B$304,2,FALSE),""))</f>
        <v/>
      </c>
      <c r="D114" s="7" t="n"/>
    </row>
    <row r="115">
      <c r="A115" s="21">
        <f>IF(B115="","",ROW()-4)</f>
        <v/>
      </c>
      <c r="B115" s="7" t="n"/>
      <c r="C115" s="22">
        <f>IF(B115="","",IFERROR(VLOOKUP(B115,'Guest Directory'!$A$5:$B$304,2,FALSE),""))</f>
        <v/>
      </c>
      <c r="D115" s="7" t="n"/>
    </row>
    <row r="116">
      <c r="A116" s="21">
        <f>IF(B116="","",ROW()-4)</f>
        <v/>
      </c>
      <c r="B116" s="7" t="n"/>
      <c r="C116" s="22">
        <f>IF(B116="","",IFERROR(VLOOKUP(B116,'Guest Directory'!$A$5:$B$304,2,FALSE),""))</f>
        <v/>
      </c>
      <c r="D116" s="7" t="n"/>
    </row>
    <row r="117">
      <c r="A117" s="21">
        <f>IF(B117="","",ROW()-4)</f>
        <v/>
      </c>
      <c r="B117" s="7" t="n"/>
      <c r="C117" s="22">
        <f>IF(B117="","",IFERROR(VLOOKUP(B117,'Guest Directory'!$A$5:$B$304,2,FALSE),""))</f>
        <v/>
      </c>
      <c r="D117" s="7" t="n"/>
    </row>
    <row r="118">
      <c r="A118" s="21">
        <f>IF(B118="","",ROW()-4)</f>
        <v/>
      </c>
      <c r="B118" s="7" t="n"/>
      <c r="C118" s="22">
        <f>IF(B118="","",IFERROR(VLOOKUP(B118,'Guest Directory'!$A$5:$B$304,2,FALSE),""))</f>
        <v/>
      </c>
      <c r="D118" s="7" t="n"/>
    </row>
    <row r="119">
      <c r="A119" s="21">
        <f>IF(B119="","",ROW()-4)</f>
        <v/>
      </c>
      <c r="B119" s="7" t="n"/>
      <c r="C119" s="22">
        <f>IF(B119="","",IFERROR(VLOOKUP(B119,'Guest Directory'!$A$5:$B$304,2,FALSE),""))</f>
        <v/>
      </c>
      <c r="D119" s="7" t="n"/>
    </row>
    <row r="120">
      <c r="A120" s="21">
        <f>IF(B120="","",ROW()-4)</f>
        <v/>
      </c>
      <c r="B120" s="7" t="n"/>
      <c r="C120" s="22">
        <f>IF(B120="","",IFERROR(VLOOKUP(B120,'Guest Directory'!$A$5:$B$304,2,FALSE),""))</f>
        <v/>
      </c>
      <c r="D120" s="7" t="n"/>
    </row>
    <row r="121">
      <c r="A121" s="21">
        <f>IF(B121="","",ROW()-4)</f>
        <v/>
      </c>
      <c r="B121" s="7" t="n"/>
      <c r="C121" s="22">
        <f>IF(B121="","",IFERROR(VLOOKUP(B121,'Guest Directory'!$A$5:$B$304,2,FALSE),""))</f>
        <v/>
      </c>
      <c r="D121" s="7" t="n"/>
    </row>
    <row r="122">
      <c r="A122" s="21">
        <f>IF(B122="","",ROW()-4)</f>
        <v/>
      </c>
      <c r="B122" s="7" t="n"/>
      <c r="C122" s="22">
        <f>IF(B122="","",IFERROR(VLOOKUP(B122,'Guest Directory'!$A$5:$B$304,2,FALSE),""))</f>
        <v/>
      </c>
      <c r="D122" s="7" t="n"/>
    </row>
    <row r="123">
      <c r="A123" s="21">
        <f>IF(B123="","",ROW()-4)</f>
        <v/>
      </c>
      <c r="B123" s="7" t="n"/>
      <c r="C123" s="22">
        <f>IF(B123="","",IFERROR(VLOOKUP(B123,'Guest Directory'!$A$5:$B$304,2,FALSE),""))</f>
        <v/>
      </c>
      <c r="D123" s="7" t="n"/>
    </row>
    <row r="124">
      <c r="A124" s="21">
        <f>IF(B124="","",ROW()-4)</f>
        <v/>
      </c>
      <c r="B124" s="7" t="n"/>
      <c r="C124" s="22">
        <f>IF(B124="","",IFERROR(VLOOKUP(B124,'Guest Directory'!$A$5:$B$304,2,FALSE),""))</f>
        <v/>
      </c>
      <c r="D124" s="7" t="n"/>
    </row>
    <row r="125">
      <c r="A125" s="21">
        <f>IF(B125="","",ROW()-4)</f>
        <v/>
      </c>
      <c r="B125" s="7" t="n"/>
      <c r="C125" s="22">
        <f>IF(B125="","",IFERROR(VLOOKUP(B125,'Guest Directory'!$A$5:$B$304,2,FALSE),""))</f>
        <v/>
      </c>
      <c r="D125" s="7" t="n"/>
    </row>
    <row r="126">
      <c r="A126" s="21">
        <f>IF(B126="","",ROW()-4)</f>
        <v/>
      </c>
      <c r="B126" s="7" t="n"/>
      <c r="C126" s="22">
        <f>IF(B126="","",IFERROR(VLOOKUP(B126,'Guest Directory'!$A$5:$B$304,2,FALSE),""))</f>
        <v/>
      </c>
      <c r="D126" s="7" t="n"/>
    </row>
    <row r="127">
      <c r="A127" s="21">
        <f>IF(B127="","",ROW()-4)</f>
        <v/>
      </c>
      <c r="B127" s="7" t="n"/>
      <c r="C127" s="22">
        <f>IF(B127="","",IFERROR(VLOOKUP(B127,'Guest Directory'!$A$5:$B$304,2,FALSE),""))</f>
        <v/>
      </c>
      <c r="D127" s="7" t="n"/>
    </row>
    <row r="128">
      <c r="A128" s="21">
        <f>IF(B128="","",ROW()-4)</f>
        <v/>
      </c>
      <c r="B128" s="7" t="n"/>
      <c r="C128" s="22">
        <f>IF(B128="","",IFERROR(VLOOKUP(B128,'Guest Directory'!$A$5:$B$304,2,FALSE),""))</f>
        <v/>
      </c>
      <c r="D128" s="7" t="n"/>
    </row>
    <row r="129">
      <c r="A129" s="21">
        <f>IF(B129="","",ROW()-4)</f>
        <v/>
      </c>
      <c r="B129" s="7" t="n"/>
      <c r="C129" s="22">
        <f>IF(B129="","",IFERROR(VLOOKUP(B129,'Guest Directory'!$A$5:$B$304,2,FALSE),""))</f>
        <v/>
      </c>
      <c r="D129" s="7" t="n"/>
    </row>
    <row r="130">
      <c r="A130" s="21">
        <f>IF(B130="","",ROW()-4)</f>
        <v/>
      </c>
      <c r="B130" s="7" t="n"/>
      <c r="C130" s="22">
        <f>IF(B130="","",IFERROR(VLOOKUP(B130,'Guest Directory'!$A$5:$B$304,2,FALSE),""))</f>
        <v/>
      </c>
      <c r="D130" s="7" t="n"/>
    </row>
    <row r="131">
      <c r="A131" s="21">
        <f>IF(B131="","",ROW()-4)</f>
        <v/>
      </c>
      <c r="B131" s="7" t="n"/>
      <c r="C131" s="22">
        <f>IF(B131="","",IFERROR(VLOOKUP(B131,'Guest Directory'!$A$5:$B$304,2,FALSE),""))</f>
        <v/>
      </c>
      <c r="D131" s="7" t="n"/>
    </row>
    <row r="132">
      <c r="A132" s="21">
        <f>IF(B132="","",ROW()-4)</f>
        <v/>
      </c>
      <c r="B132" s="7" t="n"/>
      <c r="C132" s="22">
        <f>IF(B132="","",IFERROR(VLOOKUP(B132,'Guest Directory'!$A$5:$B$304,2,FALSE),""))</f>
        <v/>
      </c>
      <c r="D132" s="7" t="n"/>
    </row>
    <row r="133">
      <c r="A133" s="21">
        <f>IF(B133="","",ROW()-4)</f>
        <v/>
      </c>
      <c r="B133" s="7" t="n"/>
      <c r="C133" s="22">
        <f>IF(B133="","",IFERROR(VLOOKUP(B133,'Guest Directory'!$A$5:$B$304,2,FALSE),""))</f>
        <v/>
      </c>
      <c r="D133" s="7" t="n"/>
    </row>
    <row r="134">
      <c r="A134" s="21">
        <f>IF(B134="","",ROW()-4)</f>
        <v/>
      </c>
      <c r="B134" s="7" t="n"/>
      <c r="C134" s="22">
        <f>IF(B134="","",IFERROR(VLOOKUP(B134,'Guest Directory'!$A$5:$B$304,2,FALSE),""))</f>
        <v/>
      </c>
      <c r="D134" s="7" t="n"/>
    </row>
    <row r="135">
      <c r="A135" s="21">
        <f>IF(B135="","",ROW()-4)</f>
        <v/>
      </c>
      <c r="B135" s="7" t="n"/>
      <c r="C135" s="22">
        <f>IF(B135="","",IFERROR(VLOOKUP(B135,'Guest Directory'!$A$5:$B$304,2,FALSE),""))</f>
        <v/>
      </c>
      <c r="D135" s="7" t="n"/>
    </row>
    <row r="136">
      <c r="A136" s="21">
        <f>IF(B136="","",ROW()-4)</f>
        <v/>
      </c>
      <c r="B136" s="7" t="n"/>
      <c r="C136" s="22">
        <f>IF(B136="","",IFERROR(VLOOKUP(B136,'Guest Directory'!$A$5:$B$304,2,FALSE),""))</f>
        <v/>
      </c>
      <c r="D136" s="7" t="n"/>
    </row>
    <row r="137">
      <c r="A137" s="21">
        <f>IF(B137="","",ROW()-4)</f>
        <v/>
      </c>
      <c r="B137" s="7" t="n"/>
      <c r="C137" s="22">
        <f>IF(B137="","",IFERROR(VLOOKUP(B137,'Guest Directory'!$A$5:$B$304,2,FALSE),""))</f>
        <v/>
      </c>
      <c r="D137" s="7" t="n"/>
    </row>
    <row r="138">
      <c r="A138" s="21">
        <f>IF(B138="","",ROW()-4)</f>
        <v/>
      </c>
      <c r="B138" s="7" t="n"/>
      <c r="C138" s="22">
        <f>IF(B138="","",IFERROR(VLOOKUP(B138,'Guest Directory'!$A$5:$B$304,2,FALSE),""))</f>
        <v/>
      </c>
      <c r="D138" s="7" t="n"/>
    </row>
    <row r="139">
      <c r="A139" s="21">
        <f>IF(B139="","",ROW()-4)</f>
        <v/>
      </c>
      <c r="B139" s="7" t="n"/>
      <c r="C139" s="22">
        <f>IF(B139="","",IFERROR(VLOOKUP(B139,'Guest Directory'!$A$5:$B$304,2,FALSE),""))</f>
        <v/>
      </c>
      <c r="D139" s="7" t="n"/>
    </row>
    <row r="140">
      <c r="A140" s="21">
        <f>IF(B140="","",ROW()-4)</f>
        <v/>
      </c>
      <c r="B140" s="7" t="n"/>
      <c r="C140" s="22">
        <f>IF(B140="","",IFERROR(VLOOKUP(B140,'Guest Directory'!$A$5:$B$304,2,FALSE),""))</f>
        <v/>
      </c>
      <c r="D140" s="7" t="n"/>
    </row>
    <row r="141">
      <c r="A141" s="21">
        <f>IF(B141="","",ROW()-4)</f>
        <v/>
      </c>
      <c r="B141" s="7" t="n"/>
      <c r="C141" s="22">
        <f>IF(B141="","",IFERROR(VLOOKUP(B141,'Guest Directory'!$A$5:$B$304,2,FALSE),""))</f>
        <v/>
      </c>
      <c r="D141" s="7" t="n"/>
    </row>
    <row r="142">
      <c r="A142" s="21">
        <f>IF(B142="","",ROW()-4)</f>
        <v/>
      </c>
      <c r="B142" s="7" t="n"/>
      <c r="C142" s="22">
        <f>IF(B142="","",IFERROR(VLOOKUP(B142,'Guest Directory'!$A$5:$B$304,2,FALSE),""))</f>
        <v/>
      </c>
      <c r="D142" s="7" t="n"/>
    </row>
    <row r="143">
      <c r="A143" s="21">
        <f>IF(B143="","",ROW()-4)</f>
        <v/>
      </c>
      <c r="B143" s="7" t="n"/>
      <c r="C143" s="22">
        <f>IF(B143="","",IFERROR(VLOOKUP(B143,'Guest Directory'!$A$5:$B$304,2,FALSE),""))</f>
        <v/>
      </c>
      <c r="D143" s="7" t="n"/>
    </row>
    <row r="144">
      <c r="A144" s="21">
        <f>IF(B144="","",ROW()-4)</f>
        <v/>
      </c>
      <c r="B144" s="7" t="n"/>
      <c r="C144" s="22">
        <f>IF(B144="","",IFERROR(VLOOKUP(B144,'Guest Directory'!$A$5:$B$304,2,FALSE),""))</f>
        <v/>
      </c>
      <c r="D144" s="7" t="n"/>
    </row>
    <row r="145">
      <c r="A145" s="21">
        <f>IF(B145="","",ROW()-4)</f>
        <v/>
      </c>
      <c r="B145" s="7" t="n"/>
      <c r="C145" s="22">
        <f>IF(B145="","",IFERROR(VLOOKUP(B145,'Guest Directory'!$A$5:$B$304,2,FALSE),""))</f>
        <v/>
      </c>
      <c r="D145" s="7" t="n"/>
    </row>
    <row r="146">
      <c r="A146" s="21">
        <f>IF(B146="","",ROW()-4)</f>
        <v/>
      </c>
      <c r="B146" s="7" t="n"/>
      <c r="C146" s="22">
        <f>IF(B146="","",IFERROR(VLOOKUP(B146,'Guest Directory'!$A$5:$B$304,2,FALSE),""))</f>
        <v/>
      </c>
      <c r="D146" s="7" t="n"/>
    </row>
    <row r="147">
      <c r="A147" s="21">
        <f>IF(B147="","",ROW()-4)</f>
        <v/>
      </c>
      <c r="B147" s="7" t="n"/>
      <c r="C147" s="22">
        <f>IF(B147="","",IFERROR(VLOOKUP(B147,'Guest Directory'!$A$5:$B$304,2,FALSE),""))</f>
        <v/>
      </c>
      <c r="D147" s="7" t="n"/>
    </row>
    <row r="148">
      <c r="A148" s="21">
        <f>IF(B148="","",ROW()-4)</f>
        <v/>
      </c>
      <c r="B148" s="7" t="n"/>
      <c r="C148" s="22">
        <f>IF(B148="","",IFERROR(VLOOKUP(B148,'Guest Directory'!$A$5:$B$304,2,FALSE),""))</f>
        <v/>
      </c>
      <c r="D148" s="7" t="n"/>
    </row>
    <row r="149">
      <c r="A149" s="21">
        <f>IF(B149="","",ROW()-4)</f>
        <v/>
      </c>
      <c r="B149" s="7" t="n"/>
      <c r="C149" s="22">
        <f>IF(B149="","",IFERROR(VLOOKUP(B149,'Guest Directory'!$A$5:$B$304,2,FALSE),""))</f>
        <v/>
      </c>
      <c r="D149" s="7" t="n"/>
    </row>
    <row r="150">
      <c r="A150" s="21">
        <f>IF(B150="","",ROW()-4)</f>
        <v/>
      </c>
      <c r="B150" s="7" t="n"/>
      <c r="C150" s="22">
        <f>IF(B150="","",IFERROR(VLOOKUP(B150,'Guest Directory'!$A$5:$B$304,2,FALSE),""))</f>
        <v/>
      </c>
      <c r="D150" s="7" t="n"/>
    </row>
    <row r="151">
      <c r="A151" s="21">
        <f>IF(B151="","",ROW()-4)</f>
        <v/>
      </c>
      <c r="B151" s="7" t="n"/>
      <c r="C151" s="22">
        <f>IF(B151="","",IFERROR(VLOOKUP(B151,'Guest Directory'!$A$5:$B$304,2,FALSE),""))</f>
        <v/>
      </c>
      <c r="D151" s="7" t="n"/>
    </row>
    <row r="152">
      <c r="A152" s="21">
        <f>IF(B152="","",ROW()-4)</f>
        <v/>
      </c>
      <c r="B152" s="7" t="n"/>
      <c r="C152" s="22">
        <f>IF(B152="","",IFERROR(VLOOKUP(B152,'Guest Directory'!$A$5:$B$304,2,FALSE),""))</f>
        <v/>
      </c>
      <c r="D152" s="7" t="n"/>
    </row>
    <row r="153">
      <c r="A153" s="21">
        <f>IF(B153="","",ROW()-4)</f>
        <v/>
      </c>
      <c r="B153" s="7" t="n"/>
      <c r="C153" s="22">
        <f>IF(B153="","",IFERROR(VLOOKUP(B153,'Guest Directory'!$A$5:$B$304,2,FALSE),""))</f>
        <v/>
      </c>
      <c r="D153" s="7" t="n"/>
    </row>
    <row r="154">
      <c r="A154" s="21">
        <f>IF(B154="","",ROW()-4)</f>
        <v/>
      </c>
      <c r="B154" s="7" t="n"/>
      <c r="C154" s="22">
        <f>IF(B154="","",IFERROR(VLOOKUP(B154,'Guest Directory'!$A$5:$B$304,2,FALSE),""))</f>
        <v/>
      </c>
      <c r="D154" s="7" t="n"/>
    </row>
    <row r="155">
      <c r="A155" s="21">
        <f>IF(B155="","",ROW()-4)</f>
        <v/>
      </c>
      <c r="B155" s="7" t="n"/>
      <c r="C155" s="22">
        <f>IF(B155="","",IFERROR(VLOOKUP(B155,'Guest Directory'!$A$5:$B$304,2,FALSE),""))</f>
        <v/>
      </c>
      <c r="D155" s="7" t="n"/>
    </row>
    <row r="156">
      <c r="A156" s="21">
        <f>IF(B156="","",ROW()-4)</f>
        <v/>
      </c>
      <c r="B156" s="7" t="n"/>
      <c r="C156" s="22">
        <f>IF(B156="","",IFERROR(VLOOKUP(B156,'Guest Directory'!$A$5:$B$304,2,FALSE),""))</f>
        <v/>
      </c>
      <c r="D156" s="7" t="n"/>
    </row>
    <row r="157">
      <c r="A157" s="21">
        <f>IF(B157="","",ROW()-4)</f>
        <v/>
      </c>
      <c r="B157" s="7" t="n"/>
      <c r="C157" s="22">
        <f>IF(B157="","",IFERROR(VLOOKUP(B157,'Guest Directory'!$A$5:$B$304,2,FALSE),""))</f>
        <v/>
      </c>
      <c r="D157" s="7" t="n"/>
    </row>
    <row r="158">
      <c r="A158" s="21">
        <f>IF(B158="","",ROW()-4)</f>
        <v/>
      </c>
      <c r="B158" s="7" t="n"/>
      <c r="C158" s="22">
        <f>IF(B158="","",IFERROR(VLOOKUP(B158,'Guest Directory'!$A$5:$B$304,2,FALSE),""))</f>
        <v/>
      </c>
      <c r="D158" s="7" t="n"/>
    </row>
    <row r="159">
      <c r="A159" s="21">
        <f>IF(B159="","",ROW()-4)</f>
        <v/>
      </c>
      <c r="B159" s="7" t="n"/>
      <c r="C159" s="22">
        <f>IF(B159="","",IFERROR(VLOOKUP(B159,'Guest Directory'!$A$5:$B$304,2,FALSE),""))</f>
        <v/>
      </c>
      <c r="D159" s="7" t="n"/>
    </row>
    <row r="160">
      <c r="A160" s="21">
        <f>IF(B160="","",ROW()-4)</f>
        <v/>
      </c>
      <c r="B160" s="7" t="n"/>
      <c r="C160" s="22">
        <f>IF(B160="","",IFERROR(VLOOKUP(B160,'Guest Directory'!$A$5:$B$304,2,FALSE),""))</f>
        <v/>
      </c>
      <c r="D160" s="7" t="n"/>
    </row>
    <row r="161">
      <c r="A161" s="21">
        <f>IF(B161="","",ROW()-4)</f>
        <v/>
      </c>
      <c r="B161" s="7" t="n"/>
      <c r="C161" s="22">
        <f>IF(B161="","",IFERROR(VLOOKUP(B161,'Guest Directory'!$A$5:$B$304,2,FALSE),""))</f>
        <v/>
      </c>
      <c r="D161" s="7" t="n"/>
    </row>
    <row r="162">
      <c r="A162" s="21">
        <f>IF(B162="","",ROW()-4)</f>
        <v/>
      </c>
      <c r="B162" s="7" t="n"/>
      <c r="C162" s="22">
        <f>IF(B162="","",IFERROR(VLOOKUP(B162,'Guest Directory'!$A$5:$B$304,2,FALSE),""))</f>
        <v/>
      </c>
      <c r="D162" s="7" t="n"/>
    </row>
    <row r="163">
      <c r="A163" s="21">
        <f>IF(B163="","",ROW()-4)</f>
        <v/>
      </c>
      <c r="B163" s="7" t="n"/>
      <c r="C163" s="22">
        <f>IF(B163="","",IFERROR(VLOOKUP(B163,'Guest Directory'!$A$5:$B$304,2,FALSE),""))</f>
        <v/>
      </c>
      <c r="D163" s="7" t="n"/>
    </row>
    <row r="164">
      <c r="A164" s="21">
        <f>IF(B164="","",ROW()-4)</f>
        <v/>
      </c>
      <c r="B164" s="7" t="n"/>
      <c r="C164" s="22">
        <f>IF(B164="","",IFERROR(VLOOKUP(B164,'Guest Directory'!$A$5:$B$304,2,FALSE),""))</f>
        <v/>
      </c>
      <c r="D164" s="7" t="n"/>
    </row>
    <row r="165">
      <c r="A165" s="21">
        <f>IF(B165="","",ROW()-4)</f>
        <v/>
      </c>
      <c r="B165" s="7" t="n"/>
      <c r="C165" s="22">
        <f>IF(B165="","",IFERROR(VLOOKUP(B165,'Guest Directory'!$A$5:$B$304,2,FALSE),""))</f>
        <v/>
      </c>
      <c r="D165" s="7" t="n"/>
    </row>
    <row r="166">
      <c r="A166" s="21">
        <f>IF(B166="","",ROW()-4)</f>
        <v/>
      </c>
      <c r="B166" s="7" t="n"/>
      <c r="C166" s="22">
        <f>IF(B166="","",IFERROR(VLOOKUP(B166,'Guest Directory'!$A$5:$B$304,2,FALSE),""))</f>
        <v/>
      </c>
      <c r="D166" s="7" t="n"/>
    </row>
    <row r="167">
      <c r="A167" s="21">
        <f>IF(B167="","",ROW()-4)</f>
        <v/>
      </c>
      <c r="B167" s="7" t="n"/>
      <c r="C167" s="22">
        <f>IF(B167="","",IFERROR(VLOOKUP(B167,'Guest Directory'!$A$5:$B$304,2,FALSE),""))</f>
        <v/>
      </c>
      <c r="D167" s="7" t="n"/>
    </row>
    <row r="168">
      <c r="A168" s="21">
        <f>IF(B168="","",ROW()-4)</f>
        <v/>
      </c>
      <c r="B168" s="7" t="n"/>
      <c r="C168" s="22">
        <f>IF(B168="","",IFERROR(VLOOKUP(B168,'Guest Directory'!$A$5:$B$304,2,FALSE),""))</f>
        <v/>
      </c>
      <c r="D168" s="7" t="n"/>
    </row>
    <row r="169">
      <c r="A169" s="21">
        <f>IF(B169="","",ROW()-4)</f>
        <v/>
      </c>
      <c r="B169" s="7" t="n"/>
      <c r="C169" s="22">
        <f>IF(B169="","",IFERROR(VLOOKUP(B169,'Guest Directory'!$A$5:$B$304,2,FALSE),""))</f>
        <v/>
      </c>
      <c r="D169" s="7" t="n"/>
    </row>
    <row r="170">
      <c r="A170" s="21">
        <f>IF(B170="","",ROW()-4)</f>
        <v/>
      </c>
      <c r="B170" s="7" t="n"/>
      <c r="C170" s="22">
        <f>IF(B170="","",IFERROR(VLOOKUP(B170,'Guest Directory'!$A$5:$B$304,2,FALSE),""))</f>
        <v/>
      </c>
      <c r="D170" s="7" t="n"/>
    </row>
    <row r="171">
      <c r="A171" s="21">
        <f>IF(B171="","",ROW()-4)</f>
        <v/>
      </c>
      <c r="B171" s="7" t="n"/>
      <c r="C171" s="22">
        <f>IF(B171="","",IFERROR(VLOOKUP(B171,'Guest Directory'!$A$5:$B$304,2,FALSE),""))</f>
        <v/>
      </c>
      <c r="D171" s="7" t="n"/>
    </row>
    <row r="172">
      <c r="A172" s="21">
        <f>IF(B172="","",ROW()-4)</f>
        <v/>
      </c>
      <c r="B172" s="7" t="n"/>
      <c r="C172" s="22">
        <f>IF(B172="","",IFERROR(VLOOKUP(B172,'Guest Directory'!$A$5:$B$304,2,FALSE),""))</f>
        <v/>
      </c>
      <c r="D172" s="7" t="n"/>
    </row>
    <row r="173">
      <c r="A173" s="21">
        <f>IF(B173="","",ROW()-4)</f>
        <v/>
      </c>
      <c r="B173" s="7" t="n"/>
      <c r="C173" s="22">
        <f>IF(B173="","",IFERROR(VLOOKUP(B173,'Guest Directory'!$A$5:$B$304,2,FALSE),""))</f>
        <v/>
      </c>
      <c r="D173" s="7" t="n"/>
    </row>
    <row r="174">
      <c r="A174" s="21">
        <f>IF(B174="","",ROW()-4)</f>
        <v/>
      </c>
      <c r="B174" s="7" t="n"/>
      <c r="C174" s="22">
        <f>IF(B174="","",IFERROR(VLOOKUP(B174,'Guest Directory'!$A$5:$B$304,2,FALSE),""))</f>
        <v/>
      </c>
      <c r="D174" s="7" t="n"/>
    </row>
    <row r="175">
      <c r="A175" s="21">
        <f>IF(B175="","",ROW()-4)</f>
        <v/>
      </c>
      <c r="B175" s="7" t="n"/>
      <c r="C175" s="22">
        <f>IF(B175="","",IFERROR(VLOOKUP(B175,'Guest Directory'!$A$5:$B$304,2,FALSE),""))</f>
        <v/>
      </c>
      <c r="D175" s="7" t="n"/>
    </row>
    <row r="176">
      <c r="A176" s="21">
        <f>IF(B176="","",ROW()-4)</f>
        <v/>
      </c>
      <c r="B176" s="7" t="n"/>
      <c r="C176" s="22">
        <f>IF(B176="","",IFERROR(VLOOKUP(B176,'Guest Directory'!$A$5:$B$304,2,FALSE),""))</f>
        <v/>
      </c>
      <c r="D176" s="7" t="n"/>
    </row>
    <row r="177">
      <c r="A177" s="21">
        <f>IF(B177="","",ROW()-4)</f>
        <v/>
      </c>
      <c r="B177" s="7" t="n"/>
      <c r="C177" s="22">
        <f>IF(B177="","",IFERROR(VLOOKUP(B177,'Guest Directory'!$A$5:$B$304,2,FALSE),""))</f>
        <v/>
      </c>
      <c r="D177" s="7" t="n"/>
    </row>
    <row r="178">
      <c r="A178" s="21">
        <f>IF(B178="","",ROW()-4)</f>
        <v/>
      </c>
      <c r="B178" s="7" t="n"/>
      <c r="C178" s="22">
        <f>IF(B178="","",IFERROR(VLOOKUP(B178,'Guest Directory'!$A$5:$B$304,2,FALSE),""))</f>
        <v/>
      </c>
      <c r="D178" s="7" t="n"/>
    </row>
    <row r="179">
      <c r="A179" s="21">
        <f>IF(B179="","",ROW()-4)</f>
        <v/>
      </c>
      <c r="B179" s="7" t="n"/>
      <c r="C179" s="22">
        <f>IF(B179="","",IFERROR(VLOOKUP(B179,'Guest Directory'!$A$5:$B$304,2,FALSE),""))</f>
        <v/>
      </c>
      <c r="D179" s="7" t="n"/>
    </row>
    <row r="180">
      <c r="A180" s="21">
        <f>IF(B180="","",ROW()-4)</f>
        <v/>
      </c>
      <c r="B180" s="7" t="n"/>
      <c r="C180" s="22">
        <f>IF(B180="","",IFERROR(VLOOKUP(B180,'Guest Directory'!$A$5:$B$304,2,FALSE),""))</f>
        <v/>
      </c>
      <c r="D180" s="7" t="n"/>
    </row>
    <row r="181">
      <c r="A181" s="21">
        <f>IF(B181="","",ROW()-4)</f>
        <v/>
      </c>
      <c r="B181" s="7" t="n"/>
      <c r="C181" s="22">
        <f>IF(B181="","",IFERROR(VLOOKUP(B181,'Guest Directory'!$A$5:$B$304,2,FALSE),""))</f>
        <v/>
      </c>
      <c r="D181" s="7" t="n"/>
    </row>
    <row r="182">
      <c r="A182" s="21">
        <f>IF(B182="","",ROW()-4)</f>
        <v/>
      </c>
      <c r="B182" s="7" t="n"/>
      <c r="C182" s="22">
        <f>IF(B182="","",IFERROR(VLOOKUP(B182,'Guest Directory'!$A$5:$B$304,2,FALSE),""))</f>
        <v/>
      </c>
      <c r="D182" s="7" t="n"/>
    </row>
    <row r="183">
      <c r="A183" s="21">
        <f>IF(B183="","",ROW()-4)</f>
        <v/>
      </c>
      <c r="B183" s="7" t="n"/>
      <c r="C183" s="22">
        <f>IF(B183="","",IFERROR(VLOOKUP(B183,'Guest Directory'!$A$5:$B$304,2,FALSE),""))</f>
        <v/>
      </c>
      <c r="D183" s="7" t="n"/>
    </row>
    <row r="184">
      <c r="A184" s="21">
        <f>IF(B184="","",ROW()-4)</f>
        <v/>
      </c>
      <c r="B184" s="7" t="n"/>
      <c r="C184" s="22">
        <f>IF(B184="","",IFERROR(VLOOKUP(B184,'Guest Directory'!$A$5:$B$304,2,FALSE),""))</f>
        <v/>
      </c>
      <c r="D184" s="7" t="n"/>
    </row>
    <row r="185">
      <c r="A185" s="21">
        <f>IF(B185="","",ROW()-4)</f>
        <v/>
      </c>
      <c r="B185" s="7" t="n"/>
      <c r="C185" s="22">
        <f>IF(B185="","",IFERROR(VLOOKUP(B185,'Guest Directory'!$A$5:$B$304,2,FALSE),""))</f>
        <v/>
      </c>
      <c r="D185" s="7" t="n"/>
    </row>
    <row r="186">
      <c r="A186" s="21">
        <f>IF(B186="","",ROW()-4)</f>
        <v/>
      </c>
      <c r="B186" s="7" t="n"/>
      <c r="C186" s="22">
        <f>IF(B186="","",IFERROR(VLOOKUP(B186,'Guest Directory'!$A$5:$B$304,2,FALSE),""))</f>
        <v/>
      </c>
      <c r="D186" s="7" t="n"/>
    </row>
    <row r="187">
      <c r="A187" s="21">
        <f>IF(B187="","",ROW()-4)</f>
        <v/>
      </c>
      <c r="B187" s="7" t="n"/>
      <c r="C187" s="22">
        <f>IF(B187="","",IFERROR(VLOOKUP(B187,'Guest Directory'!$A$5:$B$304,2,FALSE),""))</f>
        <v/>
      </c>
      <c r="D187" s="7" t="n"/>
    </row>
    <row r="188">
      <c r="A188" s="21">
        <f>IF(B188="","",ROW()-4)</f>
        <v/>
      </c>
      <c r="B188" s="7" t="n"/>
      <c r="C188" s="22">
        <f>IF(B188="","",IFERROR(VLOOKUP(B188,'Guest Directory'!$A$5:$B$304,2,FALSE),""))</f>
        <v/>
      </c>
      <c r="D188" s="7" t="n"/>
    </row>
    <row r="189">
      <c r="A189" s="21">
        <f>IF(B189="","",ROW()-4)</f>
        <v/>
      </c>
      <c r="B189" s="7" t="n"/>
      <c r="C189" s="22">
        <f>IF(B189="","",IFERROR(VLOOKUP(B189,'Guest Directory'!$A$5:$B$304,2,FALSE),""))</f>
        <v/>
      </c>
      <c r="D189" s="7" t="n"/>
    </row>
    <row r="190">
      <c r="A190" s="21">
        <f>IF(B190="","",ROW()-4)</f>
        <v/>
      </c>
      <c r="B190" s="7" t="n"/>
      <c r="C190" s="22">
        <f>IF(B190="","",IFERROR(VLOOKUP(B190,'Guest Directory'!$A$5:$B$304,2,FALSE),""))</f>
        <v/>
      </c>
      <c r="D190" s="7" t="n"/>
    </row>
    <row r="191">
      <c r="A191" s="21">
        <f>IF(B191="","",ROW()-4)</f>
        <v/>
      </c>
      <c r="B191" s="7" t="n"/>
      <c r="C191" s="22">
        <f>IF(B191="","",IFERROR(VLOOKUP(B191,'Guest Directory'!$A$5:$B$304,2,FALSE),""))</f>
        <v/>
      </c>
      <c r="D191" s="7" t="n"/>
    </row>
    <row r="192">
      <c r="A192" s="21">
        <f>IF(B192="","",ROW()-4)</f>
        <v/>
      </c>
      <c r="B192" s="7" t="n"/>
      <c r="C192" s="22">
        <f>IF(B192="","",IFERROR(VLOOKUP(B192,'Guest Directory'!$A$5:$B$304,2,FALSE),""))</f>
        <v/>
      </c>
      <c r="D192" s="7" t="n"/>
    </row>
    <row r="193">
      <c r="A193" s="21">
        <f>IF(B193="","",ROW()-4)</f>
        <v/>
      </c>
      <c r="B193" s="7" t="n"/>
      <c r="C193" s="22">
        <f>IF(B193="","",IFERROR(VLOOKUP(B193,'Guest Directory'!$A$5:$B$304,2,FALSE),""))</f>
        <v/>
      </c>
      <c r="D193" s="7" t="n"/>
    </row>
    <row r="194">
      <c r="A194" s="21">
        <f>IF(B194="","",ROW()-4)</f>
        <v/>
      </c>
      <c r="B194" s="7" t="n"/>
      <c r="C194" s="22">
        <f>IF(B194="","",IFERROR(VLOOKUP(B194,'Guest Directory'!$A$5:$B$304,2,FALSE),""))</f>
        <v/>
      </c>
      <c r="D194" s="7" t="n"/>
    </row>
    <row r="195">
      <c r="A195" s="21">
        <f>IF(B195="","",ROW()-4)</f>
        <v/>
      </c>
      <c r="B195" s="7" t="n"/>
      <c r="C195" s="22">
        <f>IF(B195="","",IFERROR(VLOOKUP(B195,'Guest Directory'!$A$5:$B$304,2,FALSE),""))</f>
        <v/>
      </c>
      <c r="D195" s="7" t="n"/>
    </row>
    <row r="196">
      <c r="A196" s="21">
        <f>IF(B196="","",ROW()-4)</f>
        <v/>
      </c>
      <c r="B196" s="7" t="n"/>
      <c r="C196" s="22">
        <f>IF(B196="","",IFERROR(VLOOKUP(B196,'Guest Directory'!$A$5:$B$304,2,FALSE),""))</f>
        <v/>
      </c>
      <c r="D196" s="7" t="n"/>
    </row>
    <row r="197">
      <c r="A197" s="21">
        <f>IF(B197="","",ROW()-4)</f>
        <v/>
      </c>
      <c r="B197" s="7" t="n"/>
      <c r="C197" s="22">
        <f>IF(B197="","",IFERROR(VLOOKUP(B197,'Guest Directory'!$A$5:$B$304,2,FALSE),""))</f>
        <v/>
      </c>
      <c r="D197" s="7" t="n"/>
    </row>
    <row r="198">
      <c r="A198" s="21">
        <f>IF(B198="","",ROW()-4)</f>
        <v/>
      </c>
      <c r="B198" s="7" t="n"/>
      <c r="C198" s="22">
        <f>IF(B198="","",IFERROR(VLOOKUP(B198,'Guest Directory'!$A$5:$B$304,2,FALSE),""))</f>
        <v/>
      </c>
      <c r="D198" s="7" t="n"/>
    </row>
    <row r="199">
      <c r="A199" s="21">
        <f>IF(B199="","",ROW()-4)</f>
        <v/>
      </c>
      <c r="B199" s="7" t="n"/>
      <c r="C199" s="22">
        <f>IF(B199="","",IFERROR(VLOOKUP(B199,'Guest Directory'!$A$5:$B$304,2,FALSE),""))</f>
        <v/>
      </c>
      <c r="D199" s="7" t="n"/>
    </row>
    <row r="200">
      <c r="A200" s="21">
        <f>IF(B200="","",ROW()-4)</f>
        <v/>
      </c>
      <c r="B200" s="7" t="n"/>
      <c r="C200" s="22">
        <f>IF(B200="","",IFERROR(VLOOKUP(B200,'Guest Directory'!$A$5:$B$304,2,FALSE),""))</f>
        <v/>
      </c>
      <c r="D200" s="7" t="n"/>
    </row>
    <row r="201">
      <c r="A201" s="21">
        <f>IF(B201="","",ROW()-4)</f>
        <v/>
      </c>
      <c r="B201" s="7" t="n"/>
      <c r="C201" s="22">
        <f>IF(B201="","",IFERROR(VLOOKUP(B201,'Guest Directory'!$A$5:$B$304,2,FALSE),""))</f>
        <v/>
      </c>
      <c r="D201" s="7" t="n"/>
    </row>
    <row r="202">
      <c r="A202" s="21">
        <f>IF(B202="","",ROW()-4)</f>
        <v/>
      </c>
      <c r="B202" s="7" t="n"/>
      <c r="C202" s="22">
        <f>IF(B202="","",IFERROR(VLOOKUP(B202,'Guest Directory'!$A$5:$B$304,2,FALSE),""))</f>
        <v/>
      </c>
      <c r="D202" s="7" t="n"/>
    </row>
    <row r="203">
      <c r="A203" s="21">
        <f>IF(B203="","",ROW()-4)</f>
        <v/>
      </c>
      <c r="B203" s="7" t="n"/>
      <c r="C203" s="22">
        <f>IF(B203="","",IFERROR(VLOOKUP(B203,'Guest Directory'!$A$5:$B$304,2,FALSE),""))</f>
        <v/>
      </c>
      <c r="D203" s="7" t="n"/>
    </row>
    <row r="204">
      <c r="A204" s="21">
        <f>IF(B204="","",ROW()-4)</f>
        <v/>
      </c>
      <c r="B204" s="7" t="n"/>
      <c r="C204" s="22">
        <f>IF(B204="","",IFERROR(VLOOKUP(B204,'Guest Directory'!$A$5:$B$304,2,FALSE),""))</f>
        <v/>
      </c>
      <c r="D204" s="7" t="n"/>
    </row>
    <row r="205">
      <c r="A205" s="21">
        <f>IF(B205="","",ROW()-4)</f>
        <v/>
      </c>
      <c r="B205" s="7" t="n"/>
      <c r="C205" s="22">
        <f>IF(B205="","",IFERROR(VLOOKUP(B205,'Guest Directory'!$A$5:$B$304,2,FALSE),""))</f>
        <v/>
      </c>
      <c r="D205" s="7" t="n"/>
    </row>
    <row r="206">
      <c r="A206" s="21">
        <f>IF(B206="","",ROW()-4)</f>
        <v/>
      </c>
      <c r="B206" s="7" t="n"/>
      <c r="C206" s="22">
        <f>IF(B206="","",IFERROR(VLOOKUP(B206,'Guest Directory'!$A$5:$B$304,2,FALSE),""))</f>
        <v/>
      </c>
      <c r="D206" s="7" t="n"/>
    </row>
    <row r="207">
      <c r="A207" s="21">
        <f>IF(B207="","",ROW()-4)</f>
        <v/>
      </c>
      <c r="B207" s="7" t="n"/>
      <c r="C207" s="22">
        <f>IF(B207="","",IFERROR(VLOOKUP(B207,'Guest Directory'!$A$5:$B$304,2,FALSE),""))</f>
        <v/>
      </c>
      <c r="D207" s="7" t="n"/>
    </row>
    <row r="208">
      <c r="A208" s="21">
        <f>IF(B208="","",ROW()-4)</f>
        <v/>
      </c>
      <c r="B208" s="7" t="n"/>
      <c r="C208" s="22">
        <f>IF(B208="","",IFERROR(VLOOKUP(B208,'Guest Directory'!$A$5:$B$304,2,FALSE),""))</f>
        <v/>
      </c>
      <c r="D208" s="7" t="n"/>
    </row>
    <row r="209">
      <c r="A209" s="21">
        <f>IF(B209="","",ROW()-4)</f>
        <v/>
      </c>
      <c r="B209" s="7" t="n"/>
      <c r="C209" s="22">
        <f>IF(B209="","",IFERROR(VLOOKUP(B209,'Guest Directory'!$A$5:$B$304,2,FALSE),""))</f>
        <v/>
      </c>
      <c r="D209" s="7" t="n"/>
    </row>
    <row r="210">
      <c r="A210" s="21">
        <f>IF(B210="","",ROW()-4)</f>
        <v/>
      </c>
      <c r="B210" s="7" t="n"/>
      <c r="C210" s="22">
        <f>IF(B210="","",IFERROR(VLOOKUP(B210,'Guest Directory'!$A$5:$B$304,2,FALSE),""))</f>
        <v/>
      </c>
      <c r="D210" s="7" t="n"/>
    </row>
    <row r="211">
      <c r="A211" s="21">
        <f>IF(B211="","",ROW()-4)</f>
        <v/>
      </c>
      <c r="B211" s="7" t="n"/>
      <c r="C211" s="22">
        <f>IF(B211="","",IFERROR(VLOOKUP(B211,'Guest Directory'!$A$5:$B$304,2,FALSE),""))</f>
        <v/>
      </c>
      <c r="D211" s="7" t="n"/>
    </row>
    <row r="212">
      <c r="A212" s="21">
        <f>IF(B212="","",ROW()-4)</f>
        <v/>
      </c>
      <c r="B212" s="7" t="n"/>
      <c r="C212" s="22">
        <f>IF(B212="","",IFERROR(VLOOKUP(B212,'Guest Directory'!$A$5:$B$304,2,FALSE),""))</f>
        <v/>
      </c>
      <c r="D212" s="7" t="n"/>
    </row>
    <row r="213">
      <c r="A213" s="21">
        <f>IF(B213="","",ROW()-4)</f>
        <v/>
      </c>
      <c r="B213" s="7" t="n"/>
      <c r="C213" s="22">
        <f>IF(B213="","",IFERROR(VLOOKUP(B213,'Guest Directory'!$A$5:$B$304,2,FALSE),""))</f>
        <v/>
      </c>
      <c r="D213" s="7" t="n"/>
    </row>
    <row r="214">
      <c r="A214" s="21">
        <f>IF(B214="","",ROW()-4)</f>
        <v/>
      </c>
      <c r="B214" s="7" t="n"/>
      <c r="C214" s="22">
        <f>IF(B214="","",IFERROR(VLOOKUP(B214,'Guest Directory'!$A$5:$B$304,2,FALSE),""))</f>
        <v/>
      </c>
      <c r="D214" s="7" t="n"/>
    </row>
    <row r="215">
      <c r="A215" s="21">
        <f>IF(B215="","",ROW()-4)</f>
        <v/>
      </c>
      <c r="B215" s="7" t="n"/>
      <c r="C215" s="22">
        <f>IF(B215="","",IFERROR(VLOOKUP(B215,'Guest Directory'!$A$5:$B$304,2,FALSE),""))</f>
        <v/>
      </c>
      <c r="D215" s="7" t="n"/>
    </row>
    <row r="216">
      <c r="A216" s="21">
        <f>IF(B216="","",ROW()-4)</f>
        <v/>
      </c>
      <c r="B216" s="7" t="n"/>
      <c r="C216" s="22">
        <f>IF(B216="","",IFERROR(VLOOKUP(B216,'Guest Directory'!$A$5:$B$304,2,FALSE),""))</f>
        <v/>
      </c>
      <c r="D216" s="7" t="n"/>
    </row>
    <row r="217">
      <c r="A217" s="21">
        <f>IF(B217="","",ROW()-4)</f>
        <v/>
      </c>
      <c r="B217" s="7" t="n"/>
      <c r="C217" s="22">
        <f>IF(B217="","",IFERROR(VLOOKUP(B217,'Guest Directory'!$A$5:$B$304,2,FALSE),""))</f>
        <v/>
      </c>
      <c r="D217" s="7" t="n"/>
    </row>
    <row r="218">
      <c r="A218" s="21">
        <f>IF(B218="","",ROW()-4)</f>
        <v/>
      </c>
      <c r="B218" s="7" t="n"/>
      <c r="C218" s="22">
        <f>IF(B218="","",IFERROR(VLOOKUP(B218,'Guest Directory'!$A$5:$B$304,2,FALSE),""))</f>
        <v/>
      </c>
      <c r="D218" s="7" t="n"/>
    </row>
    <row r="219">
      <c r="A219" s="21">
        <f>IF(B219="","",ROW()-4)</f>
        <v/>
      </c>
      <c r="B219" s="7" t="n"/>
      <c r="C219" s="22">
        <f>IF(B219="","",IFERROR(VLOOKUP(B219,'Guest Directory'!$A$5:$B$304,2,FALSE),""))</f>
        <v/>
      </c>
      <c r="D219" s="7" t="n"/>
    </row>
    <row r="220">
      <c r="A220" s="21">
        <f>IF(B220="","",ROW()-4)</f>
        <v/>
      </c>
      <c r="B220" s="7" t="n"/>
      <c r="C220" s="22">
        <f>IF(B220="","",IFERROR(VLOOKUP(B220,'Guest Directory'!$A$5:$B$304,2,FALSE),""))</f>
        <v/>
      </c>
      <c r="D220" s="7" t="n"/>
    </row>
    <row r="221">
      <c r="A221" s="21">
        <f>IF(B221="","",ROW()-4)</f>
        <v/>
      </c>
      <c r="B221" s="7" t="n"/>
      <c r="C221" s="22">
        <f>IF(B221="","",IFERROR(VLOOKUP(B221,'Guest Directory'!$A$5:$B$304,2,FALSE),""))</f>
        <v/>
      </c>
      <c r="D221" s="7" t="n"/>
    </row>
    <row r="222">
      <c r="A222" s="21">
        <f>IF(B222="","",ROW()-4)</f>
        <v/>
      </c>
      <c r="B222" s="7" t="n"/>
      <c r="C222" s="22">
        <f>IF(B222="","",IFERROR(VLOOKUP(B222,'Guest Directory'!$A$5:$B$304,2,FALSE),""))</f>
        <v/>
      </c>
      <c r="D222" s="7" t="n"/>
    </row>
    <row r="223">
      <c r="A223" s="21">
        <f>IF(B223="","",ROW()-4)</f>
        <v/>
      </c>
      <c r="B223" s="7" t="n"/>
      <c r="C223" s="22">
        <f>IF(B223="","",IFERROR(VLOOKUP(B223,'Guest Directory'!$A$5:$B$304,2,FALSE),""))</f>
        <v/>
      </c>
      <c r="D223" s="7" t="n"/>
    </row>
    <row r="224">
      <c r="A224" s="21">
        <f>IF(B224="","",ROW()-4)</f>
        <v/>
      </c>
      <c r="B224" s="7" t="n"/>
      <c r="C224" s="22">
        <f>IF(B224="","",IFERROR(VLOOKUP(B224,'Guest Directory'!$A$5:$B$304,2,FALSE),""))</f>
        <v/>
      </c>
      <c r="D224" s="7" t="n"/>
    </row>
    <row r="225">
      <c r="A225" s="21">
        <f>IF(B225="","",ROW()-4)</f>
        <v/>
      </c>
      <c r="B225" s="7" t="n"/>
      <c r="C225" s="22">
        <f>IF(B225="","",IFERROR(VLOOKUP(B225,'Guest Directory'!$A$5:$B$304,2,FALSE),""))</f>
        <v/>
      </c>
      <c r="D225" s="7" t="n"/>
    </row>
    <row r="226">
      <c r="A226" s="21">
        <f>IF(B226="","",ROW()-4)</f>
        <v/>
      </c>
      <c r="B226" s="7" t="n"/>
      <c r="C226" s="22">
        <f>IF(B226="","",IFERROR(VLOOKUP(B226,'Guest Directory'!$A$5:$B$304,2,FALSE),""))</f>
        <v/>
      </c>
      <c r="D226" s="7" t="n"/>
    </row>
    <row r="227">
      <c r="A227" s="21">
        <f>IF(B227="","",ROW()-4)</f>
        <v/>
      </c>
      <c r="B227" s="7" t="n"/>
      <c r="C227" s="22">
        <f>IF(B227="","",IFERROR(VLOOKUP(B227,'Guest Directory'!$A$5:$B$304,2,FALSE),""))</f>
        <v/>
      </c>
      <c r="D227" s="7" t="n"/>
    </row>
    <row r="228">
      <c r="A228" s="21">
        <f>IF(B228="","",ROW()-4)</f>
        <v/>
      </c>
      <c r="B228" s="7" t="n"/>
      <c r="C228" s="22">
        <f>IF(B228="","",IFERROR(VLOOKUP(B228,'Guest Directory'!$A$5:$B$304,2,FALSE),""))</f>
        <v/>
      </c>
      <c r="D228" s="7" t="n"/>
    </row>
    <row r="229">
      <c r="A229" s="21">
        <f>IF(B229="","",ROW()-4)</f>
        <v/>
      </c>
      <c r="B229" s="7" t="n"/>
      <c r="C229" s="22">
        <f>IF(B229="","",IFERROR(VLOOKUP(B229,'Guest Directory'!$A$5:$B$304,2,FALSE),""))</f>
        <v/>
      </c>
      <c r="D229" s="7" t="n"/>
    </row>
    <row r="230">
      <c r="A230" s="21">
        <f>IF(B230="","",ROW()-4)</f>
        <v/>
      </c>
      <c r="B230" s="7" t="n"/>
      <c r="C230" s="22">
        <f>IF(B230="","",IFERROR(VLOOKUP(B230,'Guest Directory'!$A$5:$B$304,2,FALSE),""))</f>
        <v/>
      </c>
      <c r="D230" s="7" t="n"/>
    </row>
    <row r="231">
      <c r="A231" s="21">
        <f>IF(B231="","",ROW()-4)</f>
        <v/>
      </c>
      <c r="B231" s="7" t="n"/>
      <c r="C231" s="22">
        <f>IF(B231="","",IFERROR(VLOOKUP(B231,'Guest Directory'!$A$5:$B$304,2,FALSE),""))</f>
        <v/>
      </c>
      <c r="D231" s="7" t="n"/>
    </row>
    <row r="232">
      <c r="A232" s="21">
        <f>IF(B232="","",ROW()-4)</f>
        <v/>
      </c>
      <c r="B232" s="7" t="n"/>
      <c r="C232" s="22">
        <f>IF(B232="","",IFERROR(VLOOKUP(B232,'Guest Directory'!$A$5:$B$304,2,FALSE),""))</f>
        <v/>
      </c>
      <c r="D232" s="7" t="n"/>
    </row>
    <row r="233">
      <c r="A233" s="21">
        <f>IF(B233="","",ROW()-4)</f>
        <v/>
      </c>
      <c r="B233" s="7" t="n"/>
      <c r="C233" s="22">
        <f>IF(B233="","",IFERROR(VLOOKUP(B233,'Guest Directory'!$A$5:$B$304,2,FALSE),""))</f>
        <v/>
      </c>
      <c r="D233" s="7" t="n"/>
    </row>
    <row r="234">
      <c r="A234" s="21">
        <f>IF(B234="","",ROW()-4)</f>
        <v/>
      </c>
      <c r="B234" s="7" t="n"/>
      <c r="C234" s="22">
        <f>IF(B234="","",IFERROR(VLOOKUP(B234,'Guest Directory'!$A$5:$B$304,2,FALSE),""))</f>
        <v/>
      </c>
      <c r="D234" s="7" t="n"/>
    </row>
    <row r="235">
      <c r="A235" s="21">
        <f>IF(B235="","",ROW()-4)</f>
        <v/>
      </c>
      <c r="B235" s="7" t="n"/>
      <c r="C235" s="22">
        <f>IF(B235="","",IFERROR(VLOOKUP(B235,'Guest Directory'!$A$5:$B$304,2,FALSE),""))</f>
        <v/>
      </c>
      <c r="D235" s="7" t="n"/>
    </row>
    <row r="236">
      <c r="A236" s="21">
        <f>IF(B236="","",ROW()-4)</f>
        <v/>
      </c>
      <c r="B236" s="7" t="n"/>
      <c r="C236" s="22">
        <f>IF(B236="","",IFERROR(VLOOKUP(B236,'Guest Directory'!$A$5:$B$304,2,FALSE),""))</f>
        <v/>
      </c>
      <c r="D236" s="7" t="n"/>
    </row>
    <row r="237">
      <c r="A237" s="21">
        <f>IF(B237="","",ROW()-4)</f>
        <v/>
      </c>
      <c r="B237" s="7" t="n"/>
      <c r="C237" s="22">
        <f>IF(B237="","",IFERROR(VLOOKUP(B237,'Guest Directory'!$A$5:$B$304,2,FALSE),""))</f>
        <v/>
      </c>
      <c r="D237" s="7" t="n"/>
    </row>
    <row r="238">
      <c r="A238" s="21">
        <f>IF(B238="","",ROW()-4)</f>
        <v/>
      </c>
      <c r="B238" s="7" t="n"/>
      <c r="C238" s="22">
        <f>IF(B238="","",IFERROR(VLOOKUP(B238,'Guest Directory'!$A$5:$B$304,2,FALSE),""))</f>
        <v/>
      </c>
      <c r="D238" s="7" t="n"/>
    </row>
    <row r="239">
      <c r="A239" s="21">
        <f>IF(B239="","",ROW()-4)</f>
        <v/>
      </c>
      <c r="B239" s="7" t="n"/>
      <c r="C239" s="22">
        <f>IF(B239="","",IFERROR(VLOOKUP(B239,'Guest Directory'!$A$5:$B$304,2,FALSE),""))</f>
        <v/>
      </c>
      <c r="D239" s="7" t="n"/>
    </row>
    <row r="240">
      <c r="A240" s="21">
        <f>IF(B240="","",ROW()-4)</f>
        <v/>
      </c>
      <c r="B240" s="7" t="n"/>
      <c r="C240" s="22">
        <f>IF(B240="","",IFERROR(VLOOKUP(B240,'Guest Directory'!$A$5:$B$304,2,FALSE),""))</f>
        <v/>
      </c>
      <c r="D240" s="7" t="n"/>
    </row>
    <row r="241">
      <c r="A241" s="21">
        <f>IF(B241="","",ROW()-4)</f>
        <v/>
      </c>
      <c r="B241" s="7" t="n"/>
      <c r="C241" s="22">
        <f>IF(B241="","",IFERROR(VLOOKUP(B241,'Guest Directory'!$A$5:$B$304,2,FALSE),""))</f>
        <v/>
      </c>
      <c r="D241" s="7" t="n"/>
    </row>
    <row r="242">
      <c r="A242" s="21">
        <f>IF(B242="","",ROW()-4)</f>
        <v/>
      </c>
      <c r="B242" s="7" t="n"/>
      <c r="C242" s="22">
        <f>IF(B242="","",IFERROR(VLOOKUP(B242,'Guest Directory'!$A$5:$B$304,2,FALSE),""))</f>
        <v/>
      </c>
      <c r="D242" s="7" t="n"/>
    </row>
    <row r="243">
      <c r="A243" s="21">
        <f>IF(B243="","",ROW()-4)</f>
        <v/>
      </c>
      <c r="B243" s="7" t="n"/>
      <c r="C243" s="22">
        <f>IF(B243="","",IFERROR(VLOOKUP(B243,'Guest Directory'!$A$5:$B$304,2,FALSE),""))</f>
        <v/>
      </c>
      <c r="D243" s="7" t="n"/>
    </row>
    <row r="244">
      <c r="A244" s="21">
        <f>IF(B244="","",ROW()-4)</f>
        <v/>
      </c>
      <c r="B244" s="7" t="n"/>
      <c r="C244" s="22">
        <f>IF(B244="","",IFERROR(VLOOKUP(B244,'Guest Directory'!$A$5:$B$304,2,FALSE),""))</f>
        <v/>
      </c>
      <c r="D244" s="7" t="n"/>
    </row>
    <row r="245">
      <c r="A245" s="21">
        <f>IF(B245="","",ROW()-4)</f>
        <v/>
      </c>
      <c r="B245" s="7" t="n"/>
      <c r="C245" s="22">
        <f>IF(B245="","",IFERROR(VLOOKUP(B245,'Guest Directory'!$A$5:$B$304,2,FALSE),""))</f>
        <v/>
      </c>
      <c r="D245" s="7" t="n"/>
    </row>
    <row r="246">
      <c r="A246" s="21">
        <f>IF(B246="","",ROW()-4)</f>
        <v/>
      </c>
      <c r="B246" s="7" t="n"/>
      <c r="C246" s="22">
        <f>IF(B246="","",IFERROR(VLOOKUP(B246,'Guest Directory'!$A$5:$B$304,2,FALSE),""))</f>
        <v/>
      </c>
      <c r="D246" s="7" t="n"/>
    </row>
    <row r="247">
      <c r="A247" s="21">
        <f>IF(B247="","",ROW()-4)</f>
        <v/>
      </c>
      <c r="B247" s="7" t="n"/>
      <c r="C247" s="22">
        <f>IF(B247="","",IFERROR(VLOOKUP(B247,'Guest Directory'!$A$5:$B$304,2,FALSE),""))</f>
        <v/>
      </c>
      <c r="D247" s="7" t="n"/>
    </row>
    <row r="248">
      <c r="A248" s="21">
        <f>IF(B248="","",ROW()-4)</f>
        <v/>
      </c>
      <c r="B248" s="7" t="n"/>
      <c r="C248" s="22">
        <f>IF(B248="","",IFERROR(VLOOKUP(B248,'Guest Directory'!$A$5:$B$304,2,FALSE),""))</f>
        <v/>
      </c>
      <c r="D248" s="7" t="n"/>
    </row>
    <row r="249">
      <c r="A249" s="21">
        <f>IF(B249="","",ROW()-4)</f>
        <v/>
      </c>
      <c r="B249" s="7" t="n"/>
      <c r="C249" s="22">
        <f>IF(B249="","",IFERROR(VLOOKUP(B249,'Guest Directory'!$A$5:$B$304,2,FALSE),""))</f>
        <v/>
      </c>
      <c r="D249" s="7" t="n"/>
    </row>
    <row r="250">
      <c r="A250" s="21">
        <f>IF(B250="","",ROW()-4)</f>
        <v/>
      </c>
      <c r="B250" s="7" t="n"/>
      <c r="C250" s="22">
        <f>IF(B250="","",IFERROR(VLOOKUP(B250,'Guest Directory'!$A$5:$B$304,2,FALSE),""))</f>
        <v/>
      </c>
      <c r="D250" s="7" t="n"/>
    </row>
    <row r="251">
      <c r="A251" s="21">
        <f>IF(B251="","",ROW()-4)</f>
        <v/>
      </c>
      <c r="B251" s="7" t="n"/>
      <c r="C251" s="22">
        <f>IF(B251="","",IFERROR(VLOOKUP(B251,'Guest Directory'!$A$5:$B$304,2,FALSE),""))</f>
        <v/>
      </c>
      <c r="D251" s="7" t="n"/>
    </row>
    <row r="252">
      <c r="A252" s="21">
        <f>IF(B252="","",ROW()-4)</f>
        <v/>
      </c>
      <c r="B252" s="7" t="n"/>
      <c r="C252" s="22">
        <f>IF(B252="","",IFERROR(VLOOKUP(B252,'Guest Directory'!$A$5:$B$304,2,FALSE),""))</f>
        <v/>
      </c>
      <c r="D252" s="7" t="n"/>
    </row>
    <row r="253">
      <c r="A253" s="21">
        <f>IF(B253="","",ROW()-4)</f>
        <v/>
      </c>
      <c r="B253" s="7" t="n"/>
      <c r="C253" s="22">
        <f>IF(B253="","",IFERROR(VLOOKUP(B253,'Guest Directory'!$A$5:$B$304,2,FALSE),""))</f>
        <v/>
      </c>
      <c r="D253" s="7" t="n"/>
    </row>
    <row r="254">
      <c r="A254" s="21">
        <f>IF(B254="","",ROW()-4)</f>
        <v/>
      </c>
      <c r="B254" s="7" t="n"/>
      <c r="C254" s="22">
        <f>IF(B254="","",IFERROR(VLOOKUP(B254,'Guest Directory'!$A$5:$B$304,2,FALSE),""))</f>
        <v/>
      </c>
      <c r="D254" s="7" t="n"/>
    </row>
    <row r="255">
      <c r="A255" s="21">
        <f>IF(B255="","",ROW()-4)</f>
        <v/>
      </c>
      <c r="B255" s="7" t="n"/>
      <c r="C255" s="22">
        <f>IF(B255="","",IFERROR(VLOOKUP(B255,'Guest Directory'!$A$5:$B$304,2,FALSE),""))</f>
        <v/>
      </c>
      <c r="D255" s="7" t="n"/>
    </row>
    <row r="256">
      <c r="A256" s="21">
        <f>IF(B256="","",ROW()-4)</f>
        <v/>
      </c>
      <c r="B256" s="7" t="n"/>
      <c r="C256" s="22">
        <f>IF(B256="","",IFERROR(VLOOKUP(B256,'Guest Directory'!$A$5:$B$304,2,FALSE),""))</f>
        <v/>
      </c>
      <c r="D256" s="7" t="n"/>
    </row>
    <row r="257">
      <c r="A257" s="21">
        <f>IF(B257="","",ROW()-4)</f>
        <v/>
      </c>
      <c r="B257" s="7" t="n"/>
      <c r="C257" s="22">
        <f>IF(B257="","",IFERROR(VLOOKUP(B257,'Guest Directory'!$A$5:$B$304,2,FALSE),""))</f>
        <v/>
      </c>
      <c r="D257" s="7" t="n"/>
    </row>
    <row r="258">
      <c r="A258" s="21">
        <f>IF(B258="","",ROW()-4)</f>
        <v/>
      </c>
      <c r="B258" s="7" t="n"/>
      <c r="C258" s="22">
        <f>IF(B258="","",IFERROR(VLOOKUP(B258,'Guest Directory'!$A$5:$B$304,2,FALSE),""))</f>
        <v/>
      </c>
      <c r="D258" s="7" t="n"/>
    </row>
    <row r="259">
      <c r="A259" s="21">
        <f>IF(B259="","",ROW()-4)</f>
        <v/>
      </c>
      <c r="B259" s="7" t="n"/>
      <c r="C259" s="22">
        <f>IF(B259="","",IFERROR(VLOOKUP(B259,'Guest Directory'!$A$5:$B$304,2,FALSE),""))</f>
        <v/>
      </c>
      <c r="D259" s="7" t="n"/>
    </row>
    <row r="260">
      <c r="A260" s="21">
        <f>IF(B260="","",ROW()-4)</f>
        <v/>
      </c>
      <c r="B260" s="7" t="n"/>
      <c r="C260" s="22">
        <f>IF(B260="","",IFERROR(VLOOKUP(B260,'Guest Directory'!$A$5:$B$304,2,FALSE),""))</f>
        <v/>
      </c>
      <c r="D260" s="7" t="n"/>
    </row>
    <row r="261">
      <c r="A261" s="21">
        <f>IF(B261="","",ROW()-4)</f>
        <v/>
      </c>
      <c r="B261" s="7" t="n"/>
      <c r="C261" s="22">
        <f>IF(B261="","",IFERROR(VLOOKUP(B261,'Guest Directory'!$A$5:$B$304,2,FALSE),""))</f>
        <v/>
      </c>
      <c r="D261" s="7" t="n"/>
    </row>
    <row r="262">
      <c r="A262" s="21">
        <f>IF(B262="","",ROW()-4)</f>
        <v/>
      </c>
      <c r="B262" s="7" t="n"/>
      <c r="C262" s="22">
        <f>IF(B262="","",IFERROR(VLOOKUP(B262,'Guest Directory'!$A$5:$B$304,2,FALSE),""))</f>
        <v/>
      </c>
      <c r="D262" s="7" t="n"/>
    </row>
    <row r="263">
      <c r="A263" s="21">
        <f>IF(B263="","",ROW()-4)</f>
        <v/>
      </c>
      <c r="B263" s="7" t="n"/>
      <c r="C263" s="22">
        <f>IF(B263="","",IFERROR(VLOOKUP(B263,'Guest Directory'!$A$5:$B$304,2,FALSE),""))</f>
        <v/>
      </c>
      <c r="D263" s="7" t="n"/>
    </row>
    <row r="264">
      <c r="A264" s="21">
        <f>IF(B264="","",ROW()-4)</f>
        <v/>
      </c>
      <c r="B264" s="7" t="n"/>
      <c r="C264" s="22">
        <f>IF(B264="","",IFERROR(VLOOKUP(B264,'Guest Directory'!$A$5:$B$304,2,FALSE),""))</f>
        <v/>
      </c>
      <c r="D264" s="7" t="n"/>
    </row>
    <row r="265">
      <c r="A265" s="21">
        <f>IF(B265="","",ROW()-4)</f>
        <v/>
      </c>
      <c r="B265" s="7" t="n"/>
      <c r="C265" s="22">
        <f>IF(B265="","",IFERROR(VLOOKUP(B265,'Guest Directory'!$A$5:$B$304,2,FALSE),""))</f>
        <v/>
      </c>
      <c r="D265" s="7" t="n"/>
    </row>
    <row r="266">
      <c r="A266" s="21">
        <f>IF(B266="","",ROW()-4)</f>
        <v/>
      </c>
      <c r="B266" s="7" t="n"/>
      <c r="C266" s="22">
        <f>IF(B266="","",IFERROR(VLOOKUP(B266,'Guest Directory'!$A$5:$B$304,2,FALSE),""))</f>
        <v/>
      </c>
      <c r="D266" s="7" t="n"/>
    </row>
    <row r="267">
      <c r="A267" s="21">
        <f>IF(B267="","",ROW()-4)</f>
        <v/>
      </c>
      <c r="B267" s="7" t="n"/>
      <c r="C267" s="22">
        <f>IF(B267="","",IFERROR(VLOOKUP(B267,'Guest Directory'!$A$5:$B$304,2,FALSE),""))</f>
        <v/>
      </c>
      <c r="D267" s="7" t="n"/>
    </row>
    <row r="268">
      <c r="A268" s="21">
        <f>IF(B268="","",ROW()-4)</f>
        <v/>
      </c>
      <c r="B268" s="7" t="n"/>
      <c r="C268" s="22">
        <f>IF(B268="","",IFERROR(VLOOKUP(B268,'Guest Directory'!$A$5:$B$304,2,FALSE),""))</f>
        <v/>
      </c>
      <c r="D268" s="7" t="n"/>
    </row>
    <row r="269">
      <c r="A269" s="21">
        <f>IF(B269="","",ROW()-4)</f>
        <v/>
      </c>
      <c r="B269" s="7" t="n"/>
      <c r="C269" s="22">
        <f>IF(B269="","",IFERROR(VLOOKUP(B269,'Guest Directory'!$A$5:$B$304,2,FALSE),""))</f>
        <v/>
      </c>
      <c r="D269" s="7" t="n"/>
    </row>
    <row r="270">
      <c r="A270" s="21">
        <f>IF(B270="","",ROW()-4)</f>
        <v/>
      </c>
      <c r="B270" s="7" t="n"/>
      <c r="C270" s="22">
        <f>IF(B270="","",IFERROR(VLOOKUP(B270,'Guest Directory'!$A$5:$B$304,2,FALSE),""))</f>
        <v/>
      </c>
      <c r="D270" s="7" t="n"/>
    </row>
    <row r="271">
      <c r="A271" s="21">
        <f>IF(B271="","",ROW()-4)</f>
        <v/>
      </c>
      <c r="B271" s="7" t="n"/>
      <c r="C271" s="22">
        <f>IF(B271="","",IFERROR(VLOOKUP(B271,'Guest Directory'!$A$5:$B$304,2,FALSE),""))</f>
        <v/>
      </c>
      <c r="D271" s="7" t="n"/>
    </row>
    <row r="272">
      <c r="A272" s="21">
        <f>IF(B272="","",ROW()-4)</f>
        <v/>
      </c>
      <c r="B272" s="7" t="n"/>
      <c r="C272" s="22">
        <f>IF(B272="","",IFERROR(VLOOKUP(B272,'Guest Directory'!$A$5:$B$304,2,FALSE),""))</f>
        <v/>
      </c>
      <c r="D272" s="7" t="n"/>
    </row>
    <row r="273">
      <c r="A273" s="21">
        <f>IF(B273="","",ROW()-4)</f>
        <v/>
      </c>
      <c r="B273" s="7" t="n"/>
      <c r="C273" s="22">
        <f>IF(B273="","",IFERROR(VLOOKUP(B273,'Guest Directory'!$A$5:$B$304,2,FALSE),""))</f>
        <v/>
      </c>
      <c r="D273" s="7" t="n"/>
    </row>
    <row r="274">
      <c r="A274" s="21">
        <f>IF(B274="","",ROW()-4)</f>
        <v/>
      </c>
      <c r="B274" s="7" t="n"/>
      <c r="C274" s="22">
        <f>IF(B274="","",IFERROR(VLOOKUP(B274,'Guest Directory'!$A$5:$B$304,2,FALSE),""))</f>
        <v/>
      </c>
      <c r="D274" s="7" t="n"/>
    </row>
    <row r="275">
      <c r="A275" s="21">
        <f>IF(B275="","",ROW()-4)</f>
        <v/>
      </c>
      <c r="B275" s="7" t="n"/>
      <c r="C275" s="22">
        <f>IF(B275="","",IFERROR(VLOOKUP(B275,'Guest Directory'!$A$5:$B$304,2,FALSE),""))</f>
        <v/>
      </c>
      <c r="D275" s="7" t="n"/>
    </row>
    <row r="276">
      <c r="A276" s="21">
        <f>IF(B276="","",ROW()-4)</f>
        <v/>
      </c>
      <c r="B276" s="7" t="n"/>
      <c r="C276" s="22">
        <f>IF(B276="","",IFERROR(VLOOKUP(B276,'Guest Directory'!$A$5:$B$304,2,FALSE),""))</f>
        <v/>
      </c>
      <c r="D276" s="7" t="n"/>
    </row>
    <row r="277">
      <c r="A277" s="21">
        <f>IF(B277="","",ROW()-4)</f>
        <v/>
      </c>
      <c r="B277" s="7" t="n"/>
      <c r="C277" s="22">
        <f>IF(B277="","",IFERROR(VLOOKUP(B277,'Guest Directory'!$A$5:$B$304,2,FALSE),""))</f>
        <v/>
      </c>
      <c r="D277" s="7" t="n"/>
    </row>
    <row r="278">
      <c r="A278" s="21">
        <f>IF(B278="","",ROW()-4)</f>
        <v/>
      </c>
      <c r="B278" s="7" t="n"/>
      <c r="C278" s="22">
        <f>IF(B278="","",IFERROR(VLOOKUP(B278,'Guest Directory'!$A$5:$B$304,2,FALSE),""))</f>
        <v/>
      </c>
      <c r="D278" s="7" t="n"/>
    </row>
    <row r="279">
      <c r="A279" s="21">
        <f>IF(B279="","",ROW()-4)</f>
        <v/>
      </c>
      <c r="B279" s="7" t="n"/>
      <c r="C279" s="22">
        <f>IF(B279="","",IFERROR(VLOOKUP(B279,'Guest Directory'!$A$5:$B$304,2,FALSE),""))</f>
        <v/>
      </c>
      <c r="D279" s="7" t="n"/>
    </row>
    <row r="280">
      <c r="A280" s="21">
        <f>IF(B280="","",ROW()-4)</f>
        <v/>
      </c>
      <c r="B280" s="7" t="n"/>
      <c r="C280" s="22">
        <f>IF(B280="","",IFERROR(VLOOKUP(B280,'Guest Directory'!$A$5:$B$304,2,FALSE),""))</f>
        <v/>
      </c>
      <c r="D280" s="7" t="n"/>
    </row>
    <row r="281">
      <c r="A281" s="21">
        <f>IF(B281="","",ROW()-4)</f>
        <v/>
      </c>
      <c r="B281" s="7" t="n"/>
      <c r="C281" s="22">
        <f>IF(B281="","",IFERROR(VLOOKUP(B281,'Guest Directory'!$A$5:$B$304,2,FALSE),""))</f>
        <v/>
      </c>
      <c r="D281" s="7" t="n"/>
    </row>
    <row r="282">
      <c r="A282" s="21">
        <f>IF(B282="","",ROW()-4)</f>
        <v/>
      </c>
      <c r="B282" s="7" t="n"/>
      <c r="C282" s="22">
        <f>IF(B282="","",IFERROR(VLOOKUP(B282,'Guest Directory'!$A$5:$B$304,2,FALSE),""))</f>
        <v/>
      </c>
      <c r="D282" s="7" t="n"/>
    </row>
    <row r="283">
      <c r="A283" s="21">
        <f>IF(B283="","",ROW()-4)</f>
        <v/>
      </c>
      <c r="B283" s="7" t="n"/>
      <c r="C283" s="22">
        <f>IF(B283="","",IFERROR(VLOOKUP(B283,'Guest Directory'!$A$5:$B$304,2,FALSE),""))</f>
        <v/>
      </c>
      <c r="D283" s="7" t="n"/>
    </row>
    <row r="284">
      <c r="A284" s="21">
        <f>IF(B284="","",ROW()-4)</f>
        <v/>
      </c>
      <c r="B284" s="7" t="n"/>
      <c r="C284" s="22">
        <f>IF(B284="","",IFERROR(VLOOKUP(B284,'Guest Directory'!$A$5:$B$304,2,FALSE),""))</f>
        <v/>
      </c>
      <c r="D284" s="7" t="n"/>
    </row>
    <row r="285">
      <c r="A285" s="21">
        <f>IF(B285="","",ROW()-4)</f>
        <v/>
      </c>
      <c r="B285" s="7" t="n"/>
      <c r="C285" s="22">
        <f>IF(B285="","",IFERROR(VLOOKUP(B285,'Guest Directory'!$A$5:$B$304,2,FALSE),""))</f>
        <v/>
      </c>
      <c r="D285" s="7" t="n"/>
    </row>
    <row r="286">
      <c r="A286" s="21">
        <f>IF(B286="","",ROW()-4)</f>
        <v/>
      </c>
      <c r="B286" s="7" t="n"/>
      <c r="C286" s="22">
        <f>IF(B286="","",IFERROR(VLOOKUP(B286,'Guest Directory'!$A$5:$B$304,2,FALSE),""))</f>
        <v/>
      </c>
      <c r="D286" s="7" t="n"/>
    </row>
    <row r="287">
      <c r="A287" s="21">
        <f>IF(B287="","",ROW()-4)</f>
        <v/>
      </c>
      <c r="B287" s="7" t="n"/>
      <c r="C287" s="22">
        <f>IF(B287="","",IFERROR(VLOOKUP(B287,'Guest Directory'!$A$5:$B$304,2,FALSE),""))</f>
        <v/>
      </c>
      <c r="D287" s="7" t="n"/>
    </row>
    <row r="288">
      <c r="A288" s="21">
        <f>IF(B288="","",ROW()-4)</f>
        <v/>
      </c>
      <c r="B288" s="7" t="n"/>
      <c r="C288" s="22">
        <f>IF(B288="","",IFERROR(VLOOKUP(B288,'Guest Directory'!$A$5:$B$304,2,FALSE),""))</f>
        <v/>
      </c>
      <c r="D288" s="7" t="n"/>
    </row>
    <row r="289">
      <c r="A289" s="21">
        <f>IF(B289="","",ROW()-4)</f>
        <v/>
      </c>
      <c r="B289" s="7" t="n"/>
      <c r="C289" s="22">
        <f>IF(B289="","",IFERROR(VLOOKUP(B289,'Guest Directory'!$A$5:$B$304,2,FALSE),""))</f>
        <v/>
      </c>
      <c r="D289" s="7" t="n"/>
    </row>
    <row r="290">
      <c r="A290" s="21">
        <f>IF(B290="","",ROW()-4)</f>
        <v/>
      </c>
      <c r="B290" s="7" t="n"/>
      <c r="C290" s="22">
        <f>IF(B290="","",IFERROR(VLOOKUP(B290,'Guest Directory'!$A$5:$B$304,2,FALSE),""))</f>
        <v/>
      </c>
      <c r="D290" s="7" t="n"/>
    </row>
    <row r="291">
      <c r="A291" s="21">
        <f>IF(B291="","",ROW()-4)</f>
        <v/>
      </c>
      <c r="B291" s="7" t="n"/>
      <c r="C291" s="22">
        <f>IF(B291="","",IFERROR(VLOOKUP(B291,'Guest Directory'!$A$5:$B$304,2,FALSE),""))</f>
        <v/>
      </c>
      <c r="D291" s="7" t="n"/>
    </row>
    <row r="292">
      <c r="A292" s="21">
        <f>IF(B292="","",ROW()-4)</f>
        <v/>
      </c>
      <c r="B292" s="7" t="n"/>
      <c r="C292" s="22">
        <f>IF(B292="","",IFERROR(VLOOKUP(B292,'Guest Directory'!$A$5:$B$304,2,FALSE),""))</f>
        <v/>
      </c>
      <c r="D292" s="7" t="n"/>
    </row>
    <row r="293">
      <c r="A293" s="21">
        <f>IF(B293="","",ROW()-4)</f>
        <v/>
      </c>
      <c r="B293" s="7" t="n"/>
      <c r="C293" s="22">
        <f>IF(B293="","",IFERROR(VLOOKUP(B293,'Guest Directory'!$A$5:$B$304,2,FALSE),""))</f>
        <v/>
      </c>
      <c r="D293" s="7" t="n"/>
    </row>
    <row r="294">
      <c r="A294" s="21">
        <f>IF(B294="","",ROW()-4)</f>
        <v/>
      </c>
      <c r="B294" s="7" t="n"/>
      <c r="C294" s="22">
        <f>IF(B294="","",IFERROR(VLOOKUP(B294,'Guest Directory'!$A$5:$B$304,2,FALSE),""))</f>
        <v/>
      </c>
      <c r="D294" s="7" t="n"/>
    </row>
    <row r="295">
      <c r="A295" s="21">
        <f>IF(B295="","",ROW()-4)</f>
        <v/>
      </c>
      <c r="B295" s="7" t="n"/>
      <c r="C295" s="22">
        <f>IF(B295="","",IFERROR(VLOOKUP(B295,'Guest Directory'!$A$5:$B$304,2,FALSE),""))</f>
        <v/>
      </c>
      <c r="D295" s="7" t="n"/>
    </row>
    <row r="296">
      <c r="A296" s="21">
        <f>IF(B296="","",ROW()-4)</f>
        <v/>
      </c>
      <c r="B296" s="7" t="n"/>
      <c r="C296" s="22">
        <f>IF(B296="","",IFERROR(VLOOKUP(B296,'Guest Directory'!$A$5:$B$304,2,FALSE),""))</f>
        <v/>
      </c>
      <c r="D296" s="7" t="n"/>
    </row>
    <row r="297">
      <c r="A297" s="21">
        <f>IF(B297="","",ROW()-4)</f>
        <v/>
      </c>
      <c r="B297" s="7" t="n"/>
      <c r="C297" s="22">
        <f>IF(B297="","",IFERROR(VLOOKUP(B297,'Guest Directory'!$A$5:$B$304,2,FALSE),""))</f>
        <v/>
      </c>
      <c r="D297" s="7" t="n"/>
    </row>
    <row r="298">
      <c r="A298" s="21">
        <f>IF(B298="","",ROW()-4)</f>
        <v/>
      </c>
      <c r="B298" s="7" t="n"/>
      <c r="C298" s="22">
        <f>IF(B298="","",IFERROR(VLOOKUP(B298,'Guest Directory'!$A$5:$B$304,2,FALSE),""))</f>
        <v/>
      </c>
      <c r="D298" s="7" t="n"/>
    </row>
    <row r="299">
      <c r="A299" s="21">
        <f>IF(B299="","",ROW()-4)</f>
        <v/>
      </c>
      <c r="B299" s="7" t="n"/>
      <c r="C299" s="22">
        <f>IF(B299="","",IFERROR(VLOOKUP(B299,'Guest Directory'!$A$5:$B$304,2,FALSE),""))</f>
        <v/>
      </c>
      <c r="D299" s="7" t="n"/>
    </row>
    <row r="300">
      <c r="A300" s="21">
        <f>IF(B300="","",ROW()-4)</f>
        <v/>
      </c>
      <c r="B300" s="7" t="n"/>
      <c r="C300" s="22">
        <f>IF(B300="","",IFERROR(VLOOKUP(B300,'Guest Directory'!$A$5:$B$304,2,FALSE),""))</f>
        <v/>
      </c>
      <c r="D300" s="7" t="n"/>
    </row>
    <row r="301">
      <c r="A301" s="21">
        <f>IF(B301="","",ROW()-4)</f>
        <v/>
      </c>
      <c r="B301" s="7" t="n"/>
      <c r="C301" s="22">
        <f>IF(B301="","",IFERROR(VLOOKUP(B301,'Guest Directory'!$A$5:$B$304,2,FALSE),""))</f>
        <v/>
      </c>
      <c r="D301" s="7" t="n"/>
    </row>
    <row r="302">
      <c r="A302" s="21">
        <f>IF(B302="","",ROW()-4)</f>
        <v/>
      </c>
      <c r="B302" s="7" t="n"/>
      <c r="C302" s="22">
        <f>IF(B302="","",IFERROR(VLOOKUP(B302,'Guest Directory'!$A$5:$B$304,2,FALSE),""))</f>
        <v/>
      </c>
      <c r="D302" s="7" t="n"/>
    </row>
    <row r="303">
      <c r="A303" s="21">
        <f>IF(B303="","",ROW()-4)</f>
        <v/>
      </c>
      <c r="B303" s="7" t="n"/>
      <c r="C303" s="22">
        <f>IF(B303="","",IFERROR(VLOOKUP(B303,'Guest Directory'!$A$5:$B$304,2,FALSE),""))</f>
        <v/>
      </c>
      <c r="D303" s="7" t="n"/>
    </row>
    <row r="304">
      <c r="A304" s="21">
        <f>IF(B304="","",ROW()-4)</f>
        <v/>
      </c>
      <c r="B304" s="7" t="n"/>
      <c r="C304" s="22">
        <f>IF(B304="","",IFERROR(VLOOKUP(B304,'Guest Directory'!$A$5:$B$304,2,FALSE),""))</f>
        <v/>
      </c>
      <c r="D304" s="7" t="n"/>
    </row>
  </sheetData>
  <conditionalFormatting sqref="C5:C304">
    <cfRule type="cellIs" priority="1" operator="lessThan" dxfId="0">
      <formula>0</formula>
    </cfRule>
  </conditionalFormatting>
  <dataValidations count="2">
    <dataValidation sqref="B5:B304" showDropDown="0" showInputMessage="1" showErrorMessage="0" allowBlank="1" promptTitle="Choose or type a guest" prompt="Choose a shared guest, or type a new name. Add new shared names to Guest Directory." type="list">
      <formula1>=GuestDirectoryNames</formula1>
    </dataValidation>
    <dataValidation sqref="C5:C304" showDropDown="0" showInputMessage="1" showErrorMessage="1" allowBlank="1" errorTitle="Whole numbers only" error="Use a whole number from 0 to 999." promptTitle="Enter a headcount" prompt="Enter a whole number from 0 to 999." type="whole" operator="between">
      <formula1>0</formula1>
      <formula2>999</formula2>
    </dataValidation>
  </dataValidations>
  <pageMargins left="0.75" right="0.75" top="1" bottom="1" header="0.5" footer="0.5"/>
  <pageSetup orientation="landscape" fitToWidth="1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tabColor rgb="0070AD47"/>
    <outlinePr summaryBelow="1" summaryRight="1"/>
    <pageSetUpPr fitToPage="1"/>
  </sheetPr>
  <dimension ref="A1:G304"/>
  <sheetViews>
    <sheetView zoomScale="9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38" customWidth="1" min="2" max="2"/>
    <col width="34" customWidth="1" min="3" max="3"/>
    <col width="32" customWidth="1" min="4" max="4"/>
    <col width="3" customWidth="1" min="5" max="5"/>
    <col width="26" customWidth="1" min="6" max="6"/>
    <col width="15" customWidth="1" min="7" max="7"/>
  </cols>
  <sheetData>
    <row r="1" ht="27" customHeight="1">
      <c r="A1" s="14" t="inlineStr">
        <is>
          <t>Haldi Guest List</t>
        </is>
      </c>
    </row>
    <row r="2">
      <c r="A2" s="15" t="inlineStr">
        <is>
          <t>Pick an existing name from the dropdown or type a new name. The headcount fills from Guest Directory when available and remains editable.</t>
        </is>
      </c>
      <c r="F2" s="18" t="inlineStr">
        <is>
          <t>Guest entries</t>
        </is>
      </c>
      <c r="G2" s="19">
        <f>COUNTIF(B5:B304,"?*")</f>
        <v/>
      </c>
    </row>
    <row r="3">
      <c r="A3" s="16">
        <f>HYPERLINK("#Summary!A1","← Back to Summary")</f>
        <v/>
      </c>
      <c r="F3" s="18" t="inlineStr">
        <is>
          <t>Total guests</t>
        </is>
      </c>
      <c r="G3" s="19">
        <f>SUM(C5:C304)</f>
        <v/>
      </c>
    </row>
    <row r="4" ht="34" customHeight="1">
      <c r="A4" s="6" t="inlineStr">
        <is>
          <t>S.No</t>
        </is>
      </c>
      <c r="B4" s="6" t="inlineStr">
        <is>
          <t>Guest Name</t>
        </is>
      </c>
      <c r="C4" s="6" t="inlineStr">
        <is>
          <t>Family Members / Total People</t>
        </is>
      </c>
      <c r="D4" s="6" t="inlineStr">
        <is>
          <t>Notes</t>
        </is>
      </c>
      <c r="F4" s="20" t="inlineStr">
        <is>
          <t>Count each party exactly as you want it included in the total.</t>
        </is>
      </c>
    </row>
    <row r="5">
      <c r="A5" s="21">
        <f>IF(B5="","",ROW()-4)</f>
        <v/>
      </c>
      <c r="B5" s="7" t="n"/>
      <c r="C5" s="22">
        <f>IF(B5="","",IFERROR(VLOOKUP(B5,'Guest Directory'!$A$5:$B$304,2,FALSE),""))</f>
        <v/>
      </c>
      <c r="D5" s="7" t="n"/>
    </row>
    <row r="6">
      <c r="A6" s="21">
        <f>IF(B6="","",ROW()-4)</f>
        <v/>
      </c>
      <c r="B6" s="7" t="n"/>
      <c r="C6" s="22">
        <f>IF(B6="","",IFERROR(VLOOKUP(B6,'Guest Directory'!$A$5:$B$304,2,FALSE),""))</f>
        <v/>
      </c>
      <c r="D6" s="7" t="n"/>
    </row>
    <row r="7">
      <c r="A7" s="21">
        <f>IF(B7="","",ROW()-4)</f>
        <v/>
      </c>
      <c r="B7" s="7" t="n"/>
      <c r="C7" s="22">
        <f>IF(B7="","",IFERROR(VLOOKUP(B7,'Guest Directory'!$A$5:$B$304,2,FALSE),""))</f>
        <v/>
      </c>
      <c r="D7" s="7" t="n"/>
    </row>
    <row r="8">
      <c r="A8" s="21">
        <f>IF(B8="","",ROW()-4)</f>
        <v/>
      </c>
      <c r="B8" s="7" t="n"/>
      <c r="C8" s="22">
        <f>IF(B8="","",IFERROR(VLOOKUP(B8,'Guest Directory'!$A$5:$B$304,2,FALSE),""))</f>
        <v/>
      </c>
      <c r="D8" s="7" t="n"/>
    </row>
    <row r="9">
      <c r="A9" s="21">
        <f>IF(B9="","",ROW()-4)</f>
        <v/>
      </c>
      <c r="B9" s="7" t="n"/>
      <c r="C9" s="22">
        <f>IF(B9="","",IFERROR(VLOOKUP(B9,'Guest Directory'!$A$5:$B$304,2,FALSE),""))</f>
        <v/>
      </c>
      <c r="D9" s="7" t="n"/>
    </row>
    <row r="10">
      <c r="A10" s="21">
        <f>IF(B10="","",ROW()-4)</f>
        <v/>
      </c>
      <c r="B10" s="7" t="n"/>
      <c r="C10" s="22">
        <f>IF(B10="","",IFERROR(VLOOKUP(B10,'Guest Directory'!$A$5:$B$304,2,FALSE),""))</f>
        <v/>
      </c>
      <c r="D10" s="7" t="n"/>
    </row>
    <row r="11">
      <c r="A11" s="21">
        <f>IF(B11="","",ROW()-4)</f>
        <v/>
      </c>
      <c r="B11" s="7" t="n"/>
      <c r="C11" s="22">
        <f>IF(B11="","",IFERROR(VLOOKUP(B11,'Guest Directory'!$A$5:$B$304,2,FALSE),""))</f>
        <v/>
      </c>
      <c r="D11" s="7" t="n"/>
    </row>
    <row r="12">
      <c r="A12" s="21">
        <f>IF(B12="","",ROW()-4)</f>
        <v/>
      </c>
      <c r="B12" s="7" t="n"/>
      <c r="C12" s="22">
        <f>IF(B12="","",IFERROR(VLOOKUP(B12,'Guest Directory'!$A$5:$B$304,2,FALSE),""))</f>
        <v/>
      </c>
      <c r="D12" s="7" t="n"/>
    </row>
    <row r="13">
      <c r="A13" s="21">
        <f>IF(B13="","",ROW()-4)</f>
        <v/>
      </c>
      <c r="B13" s="7" t="n"/>
      <c r="C13" s="22">
        <f>IF(B13="","",IFERROR(VLOOKUP(B13,'Guest Directory'!$A$5:$B$304,2,FALSE),""))</f>
        <v/>
      </c>
      <c r="D13" s="7" t="n"/>
    </row>
    <row r="14">
      <c r="A14" s="21">
        <f>IF(B14="","",ROW()-4)</f>
        <v/>
      </c>
      <c r="B14" s="7" t="n"/>
      <c r="C14" s="22">
        <f>IF(B14="","",IFERROR(VLOOKUP(B14,'Guest Directory'!$A$5:$B$304,2,FALSE),""))</f>
        <v/>
      </c>
      <c r="D14" s="7" t="n"/>
    </row>
    <row r="15">
      <c r="A15" s="21">
        <f>IF(B15="","",ROW()-4)</f>
        <v/>
      </c>
      <c r="B15" s="7" t="n"/>
      <c r="C15" s="22">
        <f>IF(B15="","",IFERROR(VLOOKUP(B15,'Guest Directory'!$A$5:$B$304,2,FALSE),""))</f>
        <v/>
      </c>
      <c r="D15" s="7" t="n"/>
    </row>
    <row r="16">
      <c r="A16" s="21">
        <f>IF(B16="","",ROW()-4)</f>
        <v/>
      </c>
      <c r="B16" s="7" t="n"/>
      <c r="C16" s="22">
        <f>IF(B16="","",IFERROR(VLOOKUP(B16,'Guest Directory'!$A$5:$B$304,2,FALSE),""))</f>
        <v/>
      </c>
      <c r="D16" s="7" t="n"/>
    </row>
    <row r="17">
      <c r="A17" s="21">
        <f>IF(B17="","",ROW()-4)</f>
        <v/>
      </c>
      <c r="B17" s="7" t="n"/>
      <c r="C17" s="22">
        <f>IF(B17="","",IFERROR(VLOOKUP(B17,'Guest Directory'!$A$5:$B$304,2,FALSE),""))</f>
        <v/>
      </c>
      <c r="D17" s="7" t="n"/>
    </row>
    <row r="18">
      <c r="A18" s="21">
        <f>IF(B18="","",ROW()-4)</f>
        <v/>
      </c>
      <c r="B18" s="7" t="n"/>
      <c r="C18" s="22">
        <f>IF(B18="","",IFERROR(VLOOKUP(B18,'Guest Directory'!$A$5:$B$304,2,FALSE),""))</f>
        <v/>
      </c>
      <c r="D18" s="7" t="n"/>
    </row>
    <row r="19">
      <c r="A19" s="21">
        <f>IF(B19="","",ROW()-4)</f>
        <v/>
      </c>
      <c r="B19" s="7" t="n"/>
      <c r="C19" s="22">
        <f>IF(B19="","",IFERROR(VLOOKUP(B19,'Guest Directory'!$A$5:$B$304,2,FALSE),""))</f>
        <v/>
      </c>
      <c r="D19" s="7" t="n"/>
    </row>
    <row r="20">
      <c r="A20" s="21">
        <f>IF(B20="","",ROW()-4)</f>
        <v/>
      </c>
      <c r="B20" s="7" t="n"/>
      <c r="C20" s="22">
        <f>IF(B20="","",IFERROR(VLOOKUP(B20,'Guest Directory'!$A$5:$B$304,2,FALSE),""))</f>
        <v/>
      </c>
      <c r="D20" s="7" t="n"/>
    </row>
    <row r="21">
      <c r="A21" s="21">
        <f>IF(B21="","",ROW()-4)</f>
        <v/>
      </c>
      <c r="B21" s="7" t="n"/>
      <c r="C21" s="22">
        <f>IF(B21="","",IFERROR(VLOOKUP(B21,'Guest Directory'!$A$5:$B$304,2,FALSE),""))</f>
        <v/>
      </c>
      <c r="D21" s="7" t="n"/>
    </row>
    <row r="22">
      <c r="A22" s="21">
        <f>IF(B22="","",ROW()-4)</f>
        <v/>
      </c>
      <c r="B22" s="7" t="n"/>
      <c r="C22" s="22">
        <f>IF(B22="","",IFERROR(VLOOKUP(B22,'Guest Directory'!$A$5:$B$304,2,FALSE),""))</f>
        <v/>
      </c>
      <c r="D22" s="7" t="n"/>
    </row>
    <row r="23">
      <c r="A23" s="21">
        <f>IF(B23="","",ROW()-4)</f>
        <v/>
      </c>
      <c r="B23" s="7" t="n"/>
      <c r="C23" s="22">
        <f>IF(B23="","",IFERROR(VLOOKUP(B23,'Guest Directory'!$A$5:$B$304,2,FALSE),""))</f>
        <v/>
      </c>
      <c r="D23" s="7" t="n"/>
    </row>
    <row r="24">
      <c r="A24" s="21">
        <f>IF(B24="","",ROW()-4)</f>
        <v/>
      </c>
      <c r="B24" s="7" t="n"/>
      <c r="C24" s="22">
        <f>IF(B24="","",IFERROR(VLOOKUP(B24,'Guest Directory'!$A$5:$B$304,2,FALSE),""))</f>
        <v/>
      </c>
      <c r="D24" s="7" t="n"/>
    </row>
    <row r="25">
      <c r="A25" s="21">
        <f>IF(B25="","",ROW()-4)</f>
        <v/>
      </c>
      <c r="B25" s="7" t="n"/>
      <c r="C25" s="22">
        <f>IF(B25="","",IFERROR(VLOOKUP(B25,'Guest Directory'!$A$5:$B$304,2,FALSE),""))</f>
        <v/>
      </c>
      <c r="D25" s="7" t="n"/>
    </row>
    <row r="26">
      <c r="A26" s="21">
        <f>IF(B26="","",ROW()-4)</f>
        <v/>
      </c>
      <c r="B26" s="7" t="n"/>
      <c r="C26" s="22">
        <f>IF(B26="","",IFERROR(VLOOKUP(B26,'Guest Directory'!$A$5:$B$304,2,FALSE),""))</f>
        <v/>
      </c>
      <c r="D26" s="7" t="n"/>
    </row>
    <row r="27">
      <c r="A27" s="21">
        <f>IF(B27="","",ROW()-4)</f>
        <v/>
      </c>
      <c r="B27" s="7" t="n"/>
      <c r="C27" s="22">
        <f>IF(B27="","",IFERROR(VLOOKUP(B27,'Guest Directory'!$A$5:$B$304,2,FALSE),""))</f>
        <v/>
      </c>
      <c r="D27" s="7" t="n"/>
    </row>
    <row r="28">
      <c r="A28" s="21">
        <f>IF(B28="","",ROW()-4)</f>
        <v/>
      </c>
      <c r="B28" s="7" t="n"/>
      <c r="C28" s="22">
        <f>IF(B28="","",IFERROR(VLOOKUP(B28,'Guest Directory'!$A$5:$B$304,2,FALSE),""))</f>
        <v/>
      </c>
      <c r="D28" s="7" t="n"/>
    </row>
    <row r="29">
      <c r="A29" s="21">
        <f>IF(B29="","",ROW()-4)</f>
        <v/>
      </c>
      <c r="B29" s="7" t="n"/>
      <c r="C29" s="22">
        <f>IF(B29="","",IFERROR(VLOOKUP(B29,'Guest Directory'!$A$5:$B$304,2,FALSE),""))</f>
        <v/>
      </c>
      <c r="D29" s="7" t="n"/>
    </row>
    <row r="30">
      <c r="A30" s="21">
        <f>IF(B30="","",ROW()-4)</f>
        <v/>
      </c>
      <c r="B30" s="7" t="n"/>
      <c r="C30" s="22">
        <f>IF(B30="","",IFERROR(VLOOKUP(B30,'Guest Directory'!$A$5:$B$304,2,FALSE),""))</f>
        <v/>
      </c>
      <c r="D30" s="7" t="n"/>
    </row>
    <row r="31">
      <c r="A31" s="21">
        <f>IF(B31="","",ROW()-4)</f>
        <v/>
      </c>
      <c r="B31" s="7" t="n"/>
      <c r="C31" s="22">
        <f>IF(B31="","",IFERROR(VLOOKUP(B31,'Guest Directory'!$A$5:$B$304,2,FALSE),""))</f>
        <v/>
      </c>
      <c r="D31" s="7" t="n"/>
    </row>
    <row r="32">
      <c r="A32" s="21">
        <f>IF(B32="","",ROW()-4)</f>
        <v/>
      </c>
      <c r="B32" s="7" t="n"/>
      <c r="C32" s="22">
        <f>IF(B32="","",IFERROR(VLOOKUP(B32,'Guest Directory'!$A$5:$B$304,2,FALSE),""))</f>
        <v/>
      </c>
      <c r="D32" s="7" t="n"/>
    </row>
    <row r="33">
      <c r="A33" s="21">
        <f>IF(B33="","",ROW()-4)</f>
        <v/>
      </c>
      <c r="B33" s="7" t="n"/>
      <c r="C33" s="22">
        <f>IF(B33="","",IFERROR(VLOOKUP(B33,'Guest Directory'!$A$5:$B$304,2,FALSE),""))</f>
        <v/>
      </c>
      <c r="D33" s="7" t="n"/>
    </row>
    <row r="34">
      <c r="A34" s="21">
        <f>IF(B34="","",ROW()-4)</f>
        <v/>
      </c>
      <c r="B34" s="7" t="n"/>
      <c r="C34" s="22">
        <f>IF(B34="","",IFERROR(VLOOKUP(B34,'Guest Directory'!$A$5:$B$304,2,FALSE),""))</f>
        <v/>
      </c>
      <c r="D34" s="7" t="n"/>
    </row>
    <row r="35">
      <c r="A35" s="21">
        <f>IF(B35="","",ROW()-4)</f>
        <v/>
      </c>
      <c r="B35" s="7" t="n"/>
      <c r="C35" s="22">
        <f>IF(B35="","",IFERROR(VLOOKUP(B35,'Guest Directory'!$A$5:$B$304,2,FALSE),""))</f>
        <v/>
      </c>
      <c r="D35" s="7" t="n"/>
    </row>
    <row r="36">
      <c r="A36" s="21">
        <f>IF(B36="","",ROW()-4)</f>
        <v/>
      </c>
      <c r="B36" s="7" t="n"/>
      <c r="C36" s="22">
        <f>IF(B36="","",IFERROR(VLOOKUP(B36,'Guest Directory'!$A$5:$B$304,2,FALSE),""))</f>
        <v/>
      </c>
      <c r="D36" s="7" t="n"/>
    </row>
    <row r="37">
      <c r="A37" s="21">
        <f>IF(B37="","",ROW()-4)</f>
        <v/>
      </c>
      <c r="B37" s="7" t="n"/>
      <c r="C37" s="22">
        <f>IF(B37="","",IFERROR(VLOOKUP(B37,'Guest Directory'!$A$5:$B$304,2,FALSE),""))</f>
        <v/>
      </c>
      <c r="D37" s="7" t="n"/>
    </row>
    <row r="38">
      <c r="A38" s="21">
        <f>IF(B38="","",ROW()-4)</f>
        <v/>
      </c>
      <c r="B38" s="7" t="n"/>
      <c r="C38" s="22">
        <f>IF(B38="","",IFERROR(VLOOKUP(B38,'Guest Directory'!$A$5:$B$304,2,FALSE),""))</f>
        <v/>
      </c>
      <c r="D38" s="7" t="n"/>
    </row>
    <row r="39">
      <c r="A39" s="21">
        <f>IF(B39="","",ROW()-4)</f>
        <v/>
      </c>
      <c r="B39" s="7" t="n"/>
      <c r="C39" s="22">
        <f>IF(B39="","",IFERROR(VLOOKUP(B39,'Guest Directory'!$A$5:$B$304,2,FALSE),""))</f>
        <v/>
      </c>
      <c r="D39" s="7" t="n"/>
    </row>
    <row r="40">
      <c r="A40" s="21">
        <f>IF(B40="","",ROW()-4)</f>
        <v/>
      </c>
      <c r="B40" s="7" t="n"/>
      <c r="C40" s="22">
        <f>IF(B40="","",IFERROR(VLOOKUP(B40,'Guest Directory'!$A$5:$B$304,2,FALSE),""))</f>
        <v/>
      </c>
      <c r="D40" s="7" t="n"/>
    </row>
    <row r="41">
      <c r="A41" s="21">
        <f>IF(B41="","",ROW()-4)</f>
        <v/>
      </c>
      <c r="B41" s="7" t="n"/>
      <c r="C41" s="22">
        <f>IF(B41="","",IFERROR(VLOOKUP(B41,'Guest Directory'!$A$5:$B$304,2,FALSE),""))</f>
        <v/>
      </c>
      <c r="D41" s="7" t="n"/>
    </row>
    <row r="42">
      <c r="A42" s="21">
        <f>IF(B42="","",ROW()-4)</f>
        <v/>
      </c>
      <c r="B42" s="7" t="n"/>
      <c r="C42" s="22">
        <f>IF(B42="","",IFERROR(VLOOKUP(B42,'Guest Directory'!$A$5:$B$304,2,FALSE),""))</f>
        <v/>
      </c>
      <c r="D42" s="7" t="n"/>
    </row>
    <row r="43">
      <c r="A43" s="21">
        <f>IF(B43="","",ROW()-4)</f>
        <v/>
      </c>
      <c r="B43" s="7" t="n"/>
      <c r="C43" s="22">
        <f>IF(B43="","",IFERROR(VLOOKUP(B43,'Guest Directory'!$A$5:$B$304,2,FALSE),""))</f>
        <v/>
      </c>
      <c r="D43" s="7" t="n"/>
    </row>
    <row r="44">
      <c r="A44" s="21">
        <f>IF(B44="","",ROW()-4)</f>
        <v/>
      </c>
      <c r="B44" s="7" t="n"/>
      <c r="C44" s="22">
        <f>IF(B44="","",IFERROR(VLOOKUP(B44,'Guest Directory'!$A$5:$B$304,2,FALSE),""))</f>
        <v/>
      </c>
      <c r="D44" s="7" t="n"/>
    </row>
    <row r="45">
      <c r="A45" s="21">
        <f>IF(B45="","",ROW()-4)</f>
        <v/>
      </c>
      <c r="B45" s="7" t="n"/>
      <c r="C45" s="22">
        <f>IF(B45="","",IFERROR(VLOOKUP(B45,'Guest Directory'!$A$5:$B$304,2,FALSE),""))</f>
        <v/>
      </c>
      <c r="D45" s="7" t="n"/>
    </row>
    <row r="46">
      <c r="A46" s="21">
        <f>IF(B46="","",ROW()-4)</f>
        <v/>
      </c>
      <c r="B46" s="7" t="n"/>
      <c r="C46" s="22">
        <f>IF(B46="","",IFERROR(VLOOKUP(B46,'Guest Directory'!$A$5:$B$304,2,FALSE),""))</f>
        <v/>
      </c>
      <c r="D46" s="7" t="n"/>
    </row>
    <row r="47">
      <c r="A47" s="21">
        <f>IF(B47="","",ROW()-4)</f>
        <v/>
      </c>
      <c r="B47" s="7" t="n"/>
      <c r="C47" s="22">
        <f>IF(B47="","",IFERROR(VLOOKUP(B47,'Guest Directory'!$A$5:$B$304,2,FALSE),""))</f>
        <v/>
      </c>
      <c r="D47" s="7" t="n"/>
    </row>
    <row r="48">
      <c r="A48" s="21">
        <f>IF(B48="","",ROW()-4)</f>
        <v/>
      </c>
      <c r="B48" s="7" t="n"/>
      <c r="C48" s="22">
        <f>IF(B48="","",IFERROR(VLOOKUP(B48,'Guest Directory'!$A$5:$B$304,2,FALSE),""))</f>
        <v/>
      </c>
      <c r="D48" s="7" t="n"/>
    </row>
    <row r="49">
      <c r="A49" s="21">
        <f>IF(B49="","",ROW()-4)</f>
        <v/>
      </c>
      <c r="B49" s="7" t="n"/>
      <c r="C49" s="22">
        <f>IF(B49="","",IFERROR(VLOOKUP(B49,'Guest Directory'!$A$5:$B$304,2,FALSE),""))</f>
        <v/>
      </c>
      <c r="D49" s="7" t="n"/>
    </row>
    <row r="50">
      <c r="A50" s="21">
        <f>IF(B50="","",ROW()-4)</f>
        <v/>
      </c>
      <c r="B50" s="7" t="n"/>
      <c r="C50" s="22">
        <f>IF(B50="","",IFERROR(VLOOKUP(B50,'Guest Directory'!$A$5:$B$304,2,FALSE),""))</f>
        <v/>
      </c>
      <c r="D50" s="7" t="n"/>
    </row>
    <row r="51">
      <c r="A51" s="21">
        <f>IF(B51="","",ROW()-4)</f>
        <v/>
      </c>
      <c r="B51" s="7" t="n"/>
      <c r="C51" s="22">
        <f>IF(B51="","",IFERROR(VLOOKUP(B51,'Guest Directory'!$A$5:$B$304,2,FALSE),""))</f>
        <v/>
      </c>
      <c r="D51" s="7" t="n"/>
    </row>
    <row r="52">
      <c r="A52" s="21">
        <f>IF(B52="","",ROW()-4)</f>
        <v/>
      </c>
      <c r="B52" s="7" t="n"/>
      <c r="C52" s="22">
        <f>IF(B52="","",IFERROR(VLOOKUP(B52,'Guest Directory'!$A$5:$B$304,2,FALSE),""))</f>
        <v/>
      </c>
      <c r="D52" s="7" t="n"/>
    </row>
    <row r="53">
      <c r="A53" s="21">
        <f>IF(B53="","",ROW()-4)</f>
        <v/>
      </c>
      <c r="B53" s="7" t="n"/>
      <c r="C53" s="22">
        <f>IF(B53="","",IFERROR(VLOOKUP(B53,'Guest Directory'!$A$5:$B$304,2,FALSE),""))</f>
        <v/>
      </c>
      <c r="D53" s="7" t="n"/>
    </row>
    <row r="54">
      <c r="A54" s="21">
        <f>IF(B54="","",ROW()-4)</f>
        <v/>
      </c>
      <c r="B54" s="7" t="n"/>
      <c r="C54" s="22">
        <f>IF(B54="","",IFERROR(VLOOKUP(B54,'Guest Directory'!$A$5:$B$304,2,FALSE),""))</f>
        <v/>
      </c>
      <c r="D54" s="7" t="n"/>
    </row>
    <row r="55">
      <c r="A55" s="21">
        <f>IF(B55="","",ROW()-4)</f>
        <v/>
      </c>
      <c r="B55" s="7" t="n"/>
      <c r="C55" s="22">
        <f>IF(B55="","",IFERROR(VLOOKUP(B55,'Guest Directory'!$A$5:$B$304,2,FALSE),""))</f>
        <v/>
      </c>
      <c r="D55" s="7" t="n"/>
    </row>
    <row r="56">
      <c r="A56" s="21">
        <f>IF(B56="","",ROW()-4)</f>
        <v/>
      </c>
      <c r="B56" s="7" t="n"/>
      <c r="C56" s="22">
        <f>IF(B56="","",IFERROR(VLOOKUP(B56,'Guest Directory'!$A$5:$B$304,2,FALSE),""))</f>
        <v/>
      </c>
      <c r="D56" s="7" t="n"/>
    </row>
    <row r="57">
      <c r="A57" s="21">
        <f>IF(B57="","",ROW()-4)</f>
        <v/>
      </c>
      <c r="B57" s="7" t="n"/>
      <c r="C57" s="22">
        <f>IF(B57="","",IFERROR(VLOOKUP(B57,'Guest Directory'!$A$5:$B$304,2,FALSE),""))</f>
        <v/>
      </c>
      <c r="D57" s="7" t="n"/>
    </row>
    <row r="58">
      <c r="A58" s="21">
        <f>IF(B58="","",ROW()-4)</f>
        <v/>
      </c>
      <c r="B58" s="7" t="n"/>
      <c r="C58" s="22">
        <f>IF(B58="","",IFERROR(VLOOKUP(B58,'Guest Directory'!$A$5:$B$304,2,FALSE),""))</f>
        <v/>
      </c>
      <c r="D58" s="7" t="n"/>
    </row>
    <row r="59">
      <c r="A59" s="21">
        <f>IF(B59="","",ROW()-4)</f>
        <v/>
      </c>
      <c r="B59" s="7" t="n"/>
      <c r="C59" s="22">
        <f>IF(B59="","",IFERROR(VLOOKUP(B59,'Guest Directory'!$A$5:$B$304,2,FALSE),""))</f>
        <v/>
      </c>
      <c r="D59" s="7" t="n"/>
    </row>
    <row r="60">
      <c r="A60" s="21">
        <f>IF(B60="","",ROW()-4)</f>
        <v/>
      </c>
      <c r="B60" s="7" t="n"/>
      <c r="C60" s="22">
        <f>IF(B60="","",IFERROR(VLOOKUP(B60,'Guest Directory'!$A$5:$B$304,2,FALSE),""))</f>
        <v/>
      </c>
      <c r="D60" s="7" t="n"/>
    </row>
    <row r="61">
      <c r="A61" s="21">
        <f>IF(B61="","",ROW()-4)</f>
        <v/>
      </c>
      <c r="B61" s="7" t="n"/>
      <c r="C61" s="22">
        <f>IF(B61="","",IFERROR(VLOOKUP(B61,'Guest Directory'!$A$5:$B$304,2,FALSE),""))</f>
        <v/>
      </c>
      <c r="D61" s="7" t="n"/>
    </row>
    <row r="62">
      <c r="A62" s="21">
        <f>IF(B62="","",ROW()-4)</f>
        <v/>
      </c>
      <c r="B62" s="7" t="n"/>
      <c r="C62" s="22">
        <f>IF(B62="","",IFERROR(VLOOKUP(B62,'Guest Directory'!$A$5:$B$304,2,FALSE),""))</f>
        <v/>
      </c>
      <c r="D62" s="7" t="n"/>
    </row>
    <row r="63">
      <c r="A63" s="21">
        <f>IF(B63="","",ROW()-4)</f>
        <v/>
      </c>
      <c r="B63" s="7" t="n"/>
      <c r="C63" s="22">
        <f>IF(B63="","",IFERROR(VLOOKUP(B63,'Guest Directory'!$A$5:$B$304,2,FALSE),""))</f>
        <v/>
      </c>
      <c r="D63" s="7" t="n"/>
    </row>
    <row r="64">
      <c r="A64" s="21">
        <f>IF(B64="","",ROW()-4)</f>
        <v/>
      </c>
      <c r="B64" s="7" t="n"/>
      <c r="C64" s="22">
        <f>IF(B64="","",IFERROR(VLOOKUP(B64,'Guest Directory'!$A$5:$B$304,2,FALSE),""))</f>
        <v/>
      </c>
      <c r="D64" s="7" t="n"/>
    </row>
    <row r="65">
      <c r="A65" s="21">
        <f>IF(B65="","",ROW()-4)</f>
        <v/>
      </c>
      <c r="B65" s="7" t="n"/>
      <c r="C65" s="22">
        <f>IF(B65="","",IFERROR(VLOOKUP(B65,'Guest Directory'!$A$5:$B$304,2,FALSE),""))</f>
        <v/>
      </c>
      <c r="D65" s="7" t="n"/>
    </row>
    <row r="66">
      <c r="A66" s="21">
        <f>IF(B66="","",ROW()-4)</f>
        <v/>
      </c>
      <c r="B66" s="7" t="n"/>
      <c r="C66" s="22">
        <f>IF(B66="","",IFERROR(VLOOKUP(B66,'Guest Directory'!$A$5:$B$304,2,FALSE),""))</f>
        <v/>
      </c>
      <c r="D66" s="7" t="n"/>
    </row>
    <row r="67">
      <c r="A67" s="21">
        <f>IF(B67="","",ROW()-4)</f>
        <v/>
      </c>
      <c r="B67" s="7" t="n"/>
      <c r="C67" s="22">
        <f>IF(B67="","",IFERROR(VLOOKUP(B67,'Guest Directory'!$A$5:$B$304,2,FALSE),""))</f>
        <v/>
      </c>
      <c r="D67" s="7" t="n"/>
    </row>
    <row r="68">
      <c r="A68" s="21">
        <f>IF(B68="","",ROW()-4)</f>
        <v/>
      </c>
      <c r="B68" s="7" t="n"/>
      <c r="C68" s="22">
        <f>IF(B68="","",IFERROR(VLOOKUP(B68,'Guest Directory'!$A$5:$B$304,2,FALSE),""))</f>
        <v/>
      </c>
      <c r="D68" s="7" t="n"/>
    </row>
    <row r="69">
      <c r="A69" s="21">
        <f>IF(B69="","",ROW()-4)</f>
        <v/>
      </c>
      <c r="B69" s="7" t="n"/>
      <c r="C69" s="22">
        <f>IF(B69="","",IFERROR(VLOOKUP(B69,'Guest Directory'!$A$5:$B$304,2,FALSE),""))</f>
        <v/>
      </c>
      <c r="D69" s="7" t="n"/>
    </row>
    <row r="70">
      <c r="A70" s="21">
        <f>IF(B70="","",ROW()-4)</f>
        <v/>
      </c>
      <c r="B70" s="7" t="n"/>
      <c r="C70" s="22">
        <f>IF(B70="","",IFERROR(VLOOKUP(B70,'Guest Directory'!$A$5:$B$304,2,FALSE),""))</f>
        <v/>
      </c>
      <c r="D70" s="7" t="n"/>
    </row>
    <row r="71">
      <c r="A71" s="21">
        <f>IF(B71="","",ROW()-4)</f>
        <v/>
      </c>
      <c r="B71" s="7" t="n"/>
      <c r="C71" s="22">
        <f>IF(B71="","",IFERROR(VLOOKUP(B71,'Guest Directory'!$A$5:$B$304,2,FALSE),""))</f>
        <v/>
      </c>
      <c r="D71" s="7" t="n"/>
    </row>
    <row r="72">
      <c r="A72" s="21">
        <f>IF(B72="","",ROW()-4)</f>
        <v/>
      </c>
      <c r="B72" s="7" t="n"/>
      <c r="C72" s="22">
        <f>IF(B72="","",IFERROR(VLOOKUP(B72,'Guest Directory'!$A$5:$B$304,2,FALSE),""))</f>
        <v/>
      </c>
      <c r="D72" s="7" t="n"/>
    </row>
    <row r="73">
      <c r="A73" s="21">
        <f>IF(B73="","",ROW()-4)</f>
        <v/>
      </c>
      <c r="B73" s="7" t="n"/>
      <c r="C73" s="22">
        <f>IF(B73="","",IFERROR(VLOOKUP(B73,'Guest Directory'!$A$5:$B$304,2,FALSE),""))</f>
        <v/>
      </c>
      <c r="D73" s="7" t="n"/>
    </row>
    <row r="74">
      <c r="A74" s="21">
        <f>IF(B74="","",ROW()-4)</f>
        <v/>
      </c>
      <c r="B74" s="7" t="n"/>
      <c r="C74" s="22">
        <f>IF(B74="","",IFERROR(VLOOKUP(B74,'Guest Directory'!$A$5:$B$304,2,FALSE),""))</f>
        <v/>
      </c>
      <c r="D74" s="7" t="n"/>
    </row>
    <row r="75">
      <c r="A75" s="21">
        <f>IF(B75="","",ROW()-4)</f>
        <v/>
      </c>
      <c r="B75" s="7" t="n"/>
      <c r="C75" s="22">
        <f>IF(B75="","",IFERROR(VLOOKUP(B75,'Guest Directory'!$A$5:$B$304,2,FALSE),""))</f>
        <v/>
      </c>
      <c r="D75" s="7" t="n"/>
    </row>
    <row r="76">
      <c r="A76" s="21">
        <f>IF(B76="","",ROW()-4)</f>
        <v/>
      </c>
      <c r="B76" s="7" t="n"/>
      <c r="C76" s="22">
        <f>IF(B76="","",IFERROR(VLOOKUP(B76,'Guest Directory'!$A$5:$B$304,2,FALSE),""))</f>
        <v/>
      </c>
      <c r="D76" s="7" t="n"/>
    </row>
    <row r="77">
      <c r="A77" s="21">
        <f>IF(B77="","",ROW()-4)</f>
        <v/>
      </c>
      <c r="B77" s="7" t="n"/>
      <c r="C77" s="22">
        <f>IF(B77="","",IFERROR(VLOOKUP(B77,'Guest Directory'!$A$5:$B$304,2,FALSE),""))</f>
        <v/>
      </c>
      <c r="D77" s="7" t="n"/>
    </row>
    <row r="78">
      <c r="A78" s="21">
        <f>IF(B78="","",ROW()-4)</f>
        <v/>
      </c>
      <c r="B78" s="7" t="n"/>
      <c r="C78" s="22">
        <f>IF(B78="","",IFERROR(VLOOKUP(B78,'Guest Directory'!$A$5:$B$304,2,FALSE),""))</f>
        <v/>
      </c>
      <c r="D78" s="7" t="n"/>
    </row>
    <row r="79">
      <c r="A79" s="21">
        <f>IF(B79="","",ROW()-4)</f>
        <v/>
      </c>
      <c r="B79" s="7" t="n"/>
      <c r="C79" s="22">
        <f>IF(B79="","",IFERROR(VLOOKUP(B79,'Guest Directory'!$A$5:$B$304,2,FALSE),""))</f>
        <v/>
      </c>
      <c r="D79" s="7" t="n"/>
    </row>
    <row r="80">
      <c r="A80" s="21">
        <f>IF(B80="","",ROW()-4)</f>
        <v/>
      </c>
      <c r="B80" s="7" t="n"/>
      <c r="C80" s="22">
        <f>IF(B80="","",IFERROR(VLOOKUP(B80,'Guest Directory'!$A$5:$B$304,2,FALSE),""))</f>
        <v/>
      </c>
      <c r="D80" s="7" t="n"/>
    </row>
    <row r="81">
      <c r="A81" s="21">
        <f>IF(B81="","",ROW()-4)</f>
        <v/>
      </c>
      <c r="B81" s="7" t="n"/>
      <c r="C81" s="22">
        <f>IF(B81="","",IFERROR(VLOOKUP(B81,'Guest Directory'!$A$5:$B$304,2,FALSE),""))</f>
        <v/>
      </c>
      <c r="D81" s="7" t="n"/>
    </row>
    <row r="82">
      <c r="A82" s="21">
        <f>IF(B82="","",ROW()-4)</f>
        <v/>
      </c>
      <c r="B82" s="7" t="n"/>
      <c r="C82" s="22">
        <f>IF(B82="","",IFERROR(VLOOKUP(B82,'Guest Directory'!$A$5:$B$304,2,FALSE),""))</f>
        <v/>
      </c>
      <c r="D82" s="7" t="n"/>
    </row>
    <row r="83">
      <c r="A83" s="21">
        <f>IF(B83="","",ROW()-4)</f>
        <v/>
      </c>
      <c r="B83" s="7" t="n"/>
      <c r="C83" s="22">
        <f>IF(B83="","",IFERROR(VLOOKUP(B83,'Guest Directory'!$A$5:$B$304,2,FALSE),""))</f>
        <v/>
      </c>
      <c r="D83" s="7" t="n"/>
    </row>
    <row r="84">
      <c r="A84" s="21">
        <f>IF(B84="","",ROW()-4)</f>
        <v/>
      </c>
      <c r="B84" s="7" t="n"/>
      <c r="C84" s="22">
        <f>IF(B84="","",IFERROR(VLOOKUP(B84,'Guest Directory'!$A$5:$B$304,2,FALSE),""))</f>
        <v/>
      </c>
      <c r="D84" s="7" t="n"/>
    </row>
    <row r="85">
      <c r="A85" s="21">
        <f>IF(B85="","",ROW()-4)</f>
        <v/>
      </c>
      <c r="B85" s="7" t="n"/>
      <c r="C85" s="22">
        <f>IF(B85="","",IFERROR(VLOOKUP(B85,'Guest Directory'!$A$5:$B$304,2,FALSE),""))</f>
        <v/>
      </c>
      <c r="D85" s="7" t="n"/>
    </row>
    <row r="86">
      <c r="A86" s="21">
        <f>IF(B86="","",ROW()-4)</f>
        <v/>
      </c>
      <c r="B86" s="7" t="n"/>
      <c r="C86" s="22">
        <f>IF(B86="","",IFERROR(VLOOKUP(B86,'Guest Directory'!$A$5:$B$304,2,FALSE),""))</f>
        <v/>
      </c>
      <c r="D86" s="7" t="n"/>
    </row>
    <row r="87">
      <c r="A87" s="21">
        <f>IF(B87="","",ROW()-4)</f>
        <v/>
      </c>
      <c r="B87" s="7" t="n"/>
      <c r="C87" s="22">
        <f>IF(B87="","",IFERROR(VLOOKUP(B87,'Guest Directory'!$A$5:$B$304,2,FALSE),""))</f>
        <v/>
      </c>
      <c r="D87" s="7" t="n"/>
    </row>
    <row r="88">
      <c r="A88" s="21">
        <f>IF(B88="","",ROW()-4)</f>
        <v/>
      </c>
      <c r="B88" s="7" t="n"/>
      <c r="C88" s="22">
        <f>IF(B88="","",IFERROR(VLOOKUP(B88,'Guest Directory'!$A$5:$B$304,2,FALSE),""))</f>
        <v/>
      </c>
      <c r="D88" s="7" t="n"/>
    </row>
    <row r="89">
      <c r="A89" s="21">
        <f>IF(B89="","",ROW()-4)</f>
        <v/>
      </c>
      <c r="B89" s="7" t="n"/>
      <c r="C89" s="22">
        <f>IF(B89="","",IFERROR(VLOOKUP(B89,'Guest Directory'!$A$5:$B$304,2,FALSE),""))</f>
        <v/>
      </c>
      <c r="D89" s="7" t="n"/>
    </row>
    <row r="90">
      <c r="A90" s="21">
        <f>IF(B90="","",ROW()-4)</f>
        <v/>
      </c>
      <c r="B90" s="7" t="n"/>
      <c r="C90" s="22">
        <f>IF(B90="","",IFERROR(VLOOKUP(B90,'Guest Directory'!$A$5:$B$304,2,FALSE),""))</f>
        <v/>
      </c>
      <c r="D90" s="7" t="n"/>
    </row>
    <row r="91">
      <c r="A91" s="21">
        <f>IF(B91="","",ROW()-4)</f>
        <v/>
      </c>
      <c r="B91" s="7" t="n"/>
      <c r="C91" s="22">
        <f>IF(B91="","",IFERROR(VLOOKUP(B91,'Guest Directory'!$A$5:$B$304,2,FALSE),""))</f>
        <v/>
      </c>
      <c r="D91" s="7" t="n"/>
    </row>
    <row r="92">
      <c r="A92" s="21">
        <f>IF(B92="","",ROW()-4)</f>
        <v/>
      </c>
      <c r="B92" s="7" t="n"/>
      <c r="C92" s="22">
        <f>IF(B92="","",IFERROR(VLOOKUP(B92,'Guest Directory'!$A$5:$B$304,2,FALSE),""))</f>
        <v/>
      </c>
      <c r="D92" s="7" t="n"/>
    </row>
    <row r="93">
      <c r="A93" s="21">
        <f>IF(B93="","",ROW()-4)</f>
        <v/>
      </c>
      <c r="B93" s="7" t="n"/>
      <c r="C93" s="22">
        <f>IF(B93="","",IFERROR(VLOOKUP(B93,'Guest Directory'!$A$5:$B$304,2,FALSE),""))</f>
        <v/>
      </c>
      <c r="D93" s="7" t="n"/>
    </row>
    <row r="94">
      <c r="A94" s="21">
        <f>IF(B94="","",ROW()-4)</f>
        <v/>
      </c>
      <c r="B94" s="7" t="n"/>
      <c r="C94" s="22">
        <f>IF(B94="","",IFERROR(VLOOKUP(B94,'Guest Directory'!$A$5:$B$304,2,FALSE),""))</f>
        <v/>
      </c>
      <c r="D94" s="7" t="n"/>
    </row>
    <row r="95">
      <c r="A95" s="21">
        <f>IF(B95="","",ROW()-4)</f>
        <v/>
      </c>
      <c r="B95" s="7" t="n"/>
      <c r="C95" s="22">
        <f>IF(B95="","",IFERROR(VLOOKUP(B95,'Guest Directory'!$A$5:$B$304,2,FALSE),""))</f>
        <v/>
      </c>
      <c r="D95" s="7" t="n"/>
    </row>
    <row r="96">
      <c r="A96" s="21">
        <f>IF(B96="","",ROW()-4)</f>
        <v/>
      </c>
      <c r="B96" s="7" t="n"/>
      <c r="C96" s="22">
        <f>IF(B96="","",IFERROR(VLOOKUP(B96,'Guest Directory'!$A$5:$B$304,2,FALSE),""))</f>
        <v/>
      </c>
      <c r="D96" s="7" t="n"/>
    </row>
    <row r="97">
      <c r="A97" s="21">
        <f>IF(B97="","",ROW()-4)</f>
        <v/>
      </c>
      <c r="B97" s="7" t="n"/>
      <c r="C97" s="22">
        <f>IF(B97="","",IFERROR(VLOOKUP(B97,'Guest Directory'!$A$5:$B$304,2,FALSE),""))</f>
        <v/>
      </c>
      <c r="D97" s="7" t="n"/>
    </row>
    <row r="98">
      <c r="A98" s="21">
        <f>IF(B98="","",ROW()-4)</f>
        <v/>
      </c>
      <c r="B98" s="7" t="n"/>
      <c r="C98" s="22">
        <f>IF(B98="","",IFERROR(VLOOKUP(B98,'Guest Directory'!$A$5:$B$304,2,FALSE),""))</f>
        <v/>
      </c>
      <c r="D98" s="7" t="n"/>
    </row>
    <row r="99">
      <c r="A99" s="21">
        <f>IF(B99="","",ROW()-4)</f>
        <v/>
      </c>
      <c r="B99" s="7" t="n"/>
      <c r="C99" s="22">
        <f>IF(B99="","",IFERROR(VLOOKUP(B99,'Guest Directory'!$A$5:$B$304,2,FALSE),""))</f>
        <v/>
      </c>
      <c r="D99" s="7" t="n"/>
    </row>
    <row r="100">
      <c r="A100" s="21">
        <f>IF(B100="","",ROW()-4)</f>
        <v/>
      </c>
      <c r="B100" s="7" t="n"/>
      <c r="C100" s="22">
        <f>IF(B100="","",IFERROR(VLOOKUP(B100,'Guest Directory'!$A$5:$B$304,2,FALSE),""))</f>
        <v/>
      </c>
      <c r="D100" s="7" t="n"/>
    </row>
    <row r="101">
      <c r="A101" s="21">
        <f>IF(B101="","",ROW()-4)</f>
        <v/>
      </c>
      <c r="B101" s="7" t="n"/>
      <c r="C101" s="22">
        <f>IF(B101="","",IFERROR(VLOOKUP(B101,'Guest Directory'!$A$5:$B$304,2,FALSE),""))</f>
        <v/>
      </c>
      <c r="D101" s="7" t="n"/>
    </row>
    <row r="102">
      <c r="A102" s="21">
        <f>IF(B102="","",ROW()-4)</f>
        <v/>
      </c>
      <c r="B102" s="7" t="n"/>
      <c r="C102" s="22">
        <f>IF(B102="","",IFERROR(VLOOKUP(B102,'Guest Directory'!$A$5:$B$304,2,FALSE),""))</f>
        <v/>
      </c>
      <c r="D102" s="7" t="n"/>
    </row>
    <row r="103">
      <c r="A103" s="21">
        <f>IF(B103="","",ROW()-4)</f>
        <v/>
      </c>
      <c r="B103" s="7" t="n"/>
      <c r="C103" s="22">
        <f>IF(B103="","",IFERROR(VLOOKUP(B103,'Guest Directory'!$A$5:$B$304,2,FALSE),""))</f>
        <v/>
      </c>
      <c r="D103" s="7" t="n"/>
    </row>
    <row r="104">
      <c r="A104" s="21">
        <f>IF(B104="","",ROW()-4)</f>
        <v/>
      </c>
      <c r="B104" s="7" t="n"/>
      <c r="C104" s="22">
        <f>IF(B104="","",IFERROR(VLOOKUP(B104,'Guest Directory'!$A$5:$B$304,2,FALSE),""))</f>
        <v/>
      </c>
      <c r="D104" s="7" t="n"/>
    </row>
    <row r="105">
      <c r="A105" s="21">
        <f>IF(B105="","",ROW()-4)</f>
        <v/>
      </c>
      <c r="B105" s="7" t="n"/>
      <c r="C105" s="22">
        <f>IF(B105="","",IFERROR(VLOOKUP(B105,'Guest Directory'!$A$5:$B$304,2,FALSE),""))</f>
        <v/>
      </c>
      <c r="D105" s="7" t="n"/>
    </row>
    <row r="106">
      <c r="A106" s="21">
        <f>IF(B106="","",ROW()-4)</f>
        <v/>
      </c>
      <c r="B106" s="7" t="n"/>
      <c r="C106" s="22">
        <f>IF(B106="","",IFERROR(VLOOKUP(B106,'Guest Directory'!$A$5:$B$304,2,FALSE),""))</f>
        <v/>
      </c>
      <c r="D106" s="7" t="n"/>
    </row>
    <row r="107">
      <c r="A107" s="21">
        <f>IF(B107="","",ROW()-4)</f>
        <v/>
      </c>
      <c r="B107" s="7" t="n"/>
      <c r="C107" s="22">
        <f>IF(B107="","",IFERROR(VLOOKUP(B107,'Guest Directory'!$A$5:$B$304,2,FALSE),""))</f>
        <v/>
      </c>
      <c r="D107" s="7" t="n"/>
    </row>
    <row r="108">
      <c r="A108" s="21">
        <f>IF(B108="","",ROW()-4)</f>
        <v/>
      </c>
      <c r="B108" s="7" t="n"/>
      <c r="C108" s="22">
        <f>IF(B108="","",IFERROR(VLOOKUP(B108,'Guest Directory'!$A$5:$B$304,2,FALSE),""))</f>
        <v/>
      </c>
      <c r="D108" s="7" t="n"/>
    </row>
    <row r="109">
      <c r="A109" s="21">
        <f>IF(B109="","",ROW()-4)</f>
        <v/>
      </c>
      <c r="B109" s="7" t="n"/>
      <c r="C109" s="22">
        <f>IF(B109="","",IFERROR(VLOOKUP(B109,'Guest Directory'!$A$5:$B$304,2,FALSE),""))</f>
        <v/>
      </c>
      <c r="D109" s="7" t="n"/>
    </row>
    <row r="110">
      <c r="A110" s="21">
        <f>IF(B110="","",ROW()-4)</f>
        <v/>
      </c>
      <c r="B110" s="7" t="n"/>
      <c r="C110" s="22">
        <f>IF(B110="","",IFERROR(VLOOKUP(B110,'Guest Directory'!$A$5:$B$304,2,FALSE),""))</f>
        <v/>
      </c>
      <c r="D110" s="7" t="n"/>
    </row>
    <row r="111">
      <c r="A111" s="21">
        <f>IF(B111="","",ROW()-4)</f>
        <v/>
      </c>
      <c r="B111" s="7" t="n"/>
      <c r="C111" s="22">
        <f>IF(B111="","",IFERROR(VLOOKUP(B111,'Guest Directory'!$A$5:$B$304,2,FALSE),""))</f>
        <v/>
      </c>
      <c r="D111" s="7" t="n"/>
    </row>
    <row r="112">
      <c r="A112" s="21">
        <f>IF(B112="","",ROW()-4)</f>
        <v/>
      </c>
      <c r="B112" s="7" t="n"/>
      <c r="C112" s="22">
        <f>IF(B112="","",IFERROR(VLOOKUP(B112,'Guest Directory'!$A$5:$B$304,2,FALSE),""))</f>
        <v/>
      </c>
      <c r="D112" s="7" t="n"/>
    </row>
    <row r="113">
      <c r="A113" s="21">
        <f>IF(B113="","",ROW()-4)</f>
        <v/>
      </c>
      <c r="B113" s="7" t="n"/>
      <c r="C113" s="22">
        <f>IF(B113="","",IFERROR(VLOOKUP(B113,'Guest Directory'!$A$5:$B$304,2,FALSE),""))</f>
        <v/>
      </c>
      <c r="D113" s="7" t="n"/>
    </row>
    <row r="114">
      <c r="A114" s="21">
        <f>IF(B114="","",ROW()-4)</f>
        <v/>
      </c>
      <c r="B114" s="7" t="n"/>
      <c r="C114" s="22">
        <f>IF(B114="","",IFERROR(VLOOKUP(B114,'Guest Directory'!$A$5:$B$304,2,FALSE),""))</f>
        <v/>
      </c>
      <c r="D114" s="7" t="n"/>
    </row>
    <row r="115">
      <c r="A115" s="21">
        <f>IF(B115="","",ROW()-4)</f>
        <v/>
      </c>
      <c r="B115" s="7" t="n"/>
      <c r="C115" s="22">
        <f>IF(B115="","",IFERROR(VLOOKUP(B115,'Guest Directory'!$A$5:$B$304,2,FALSE),""))</f>
        <v/>
      </c>
      <c r="D115" s="7" t="n"/>
    </row>
    <row r="116">
      <c r="A116" s="21">
        <f>IF(B116="","",ROW()-4)</f>
        <v/>
      </c>
      <c r="B116" s="7" t="n"/>
      <c r="C116" s="22">
        <f>IF(B116="","",IFERROR(VLOOKUP(B116,'Guest Directory'!$A$5:$B$304,2,FALSE),""))</f>
        <v/>
      </c>
      <c r="D116" s="7" t="n"/>
    </row>
    <row r="117">
      <c r="A117" s="21">
        <f>IF(B117="","",ROW()-4)</f>
        <v/>
      </c>
      <c r="B117" s="7" t="n"/>
      <c r="C117" s="22">
        <f>IF(B117="","",IFERROR(VLOOKUP(B117,'Guest Directory'!$A$5:$B$304,2,FALSE),""))</f>
        <v/>
      </c>
      <c r="D117" s="7" t="n"/>
    </row>
    <row r="118">
      <c r="A118" s="21">
        <f>IF(B118="","",ROW()-4)</f>
        <v/>
      </c>
      <c r="B118" s="7" t="n"/>
      <c r="C118" s="22">
        <f>IF(B118="","",IFERROR(VLOOKUP(B118,'Guest Directory'!$A$5:$B$304,2,FALSE),""))</f>
        <v/>
      </c>
      <c r="D118" s="7" t="n"/>
    </row>
    <row r="119">
      <c r="A119" s="21">
        <f>IF(B119="","",ROW()-4)</f>
        <v/>
      </c>
      <c r="B119" s="7" t="n"/>
      <c r="C119" s="22">
        <f>IF(B119="","",IFERROR(VLOOKUP(B119,'Guest Directory'!$A$5:$B$304,2,FALSE),""))</f>
        <v/>
      </c>
      <c r="D119" s="7" t="n"/>
    </row>
    <row r="120">
      <c r="A120" s="21">
        <f>IF(B120="","",ROW()-4)</f>
        <v/>
      </c>
      <c r="B120" s="7" t="n"/>
      <c r="C120" s="22">
        <f>IF(B120="","",IFERROR(VLOOKUP(B120,'Guest Directory'!$A$5:$B$304,2,FALSE),""))</f>
        <v/>
      </c>
      <c r="D120" s="7" t="n"/>
    </row>
    <row r="121">
      <c r="A121" s="21">
        <f>IF(B121="","",ROW()-4)</f>
        <v/>
      </c>
      <c r="B121" s="7" t="n"/>
      <c r="C121" s="22">
        <f>IF(B121="","",IFERROR(VLOOKUP(B121,'Guest Directory'!$A$5:$B$304,2,FALSE),""))</f>
        <v/>
      </c>
      <c r="D121" s="7" t="n"/>
    </row>
    <row r="122">
      <c r="A122" s="21">
        <f>IF(B122="","",ROW()-4)</f>
        <v/>
      </c>
      <c r="B122" s="7" t="n"/>
      <c r="C122" s="22">
        <f>IF(B122="","",IFERROR(VLOOKUP(B122,'Guest Directory'!$A$5:$B$304,2,FALSE),""))</f>
        <v/>
      </c>
      <c r="D122" s="7" t="n"/>
    </row>
    <row r="123">
      <c r="A123" s="21">
        <f>IF(B123="","",ROW()-4)</f>
        <v/>
      </c>
      <c r="B123" s="7" t="n"/>
      <c r="C123" s="22">
        <f>IF(B123="","",IFERROR(VLOOKUP(B123,'Guest Directory'!$A$5:$B$304,2,FALSE),""))</f>
        <v/>
      </c>
      <c r="D123" s="7" t="n"/>
    </row>
    <row r="124">
      <c r="A124" s="21">
        <f>IF(B124="","",ROW()-4)</f>
        <v/>
      </c>
      <c r="B124" s="7" t="n"/>
      <c r="C124" s="22">
        <f>IF(B124="","",IFERROR(VLOOKUP(B124,'Guest Directory'!$A$5:$B$304,2,FALSE),""))</f>
        <v/>
      </c>
      <c r="D124" s="7" t="n"/>
    </row>
    <row r="125">
      <c r="A125" s="21">
        <f>IF(B125="","",ROW()-4)</f>
        <v/>
      </c>
      <c r="B125" s="7" t="n"/>
      <c r="C125" s="22">
        <f>IF(B125="","",IFERROR(VLOOKUP(B125,'Guest Directory'!$A$5:$B$304,2,FALSE),""))</f>
        <v/>
      </c>
      <c r="D125" s="7" t="n"/>
    </row>
    <row r="126">
      <c r="A126" s="21">
        <f>IF(B126="","",ROW()-4)</f>
        <v/>
      </c>
      <c r="B126" s="7" t="n"/>
      <c r="C126" s="22">
        <f>IF(B126="","",IFERROR(VLOOKUP(B126,'Guest Directory'!$A$5:$B$304,2,FALSE),""))</f>
        <v/>
      </c>
      <c r="D126" s="7" t="n"/>
    </row>
    <row r="127">
      <c r="A127" s="21">
        <f>IF(B127="","",ROW()-4)</f>
        <v/>
      </c>
      <c r="B127" s="7" t="n"/>
      <c r="C127" s="22">
        <f>IF(B127="","",IFERROR(VLOOKUP(B127,'Guest Directory'!$A$5:$B$304,2,FALSE),""))</f>
        <v/>
      </c>
      <c r="D127" s="7" t="n"/>
    </row>
    <row r="128">
      <c r="A128" s="21">
        <f>IF(B128="","",ROW()-4)</f>
        <v/>
      </c>
      <c r="B128" s="7" t="n"/>
      <c r="C128" s="22">
        <f>IF(B128="","",IFERROR(VLOOKUP(B128,'Guest Directory'!$A$5:$B$304,2,FALSE),""))</f>
        <v/>
      </c>
      <c r="D128" s="7" t="n"/>
    </row>
    <row r="129">
      <c r="A129" s="21">
        <f>IF(B129="","",ROW()-4)</f>
        <v/>
      </c>
      <c r="B129" s="7" t="n"/>
      <c r="C129" s="22">
        <f>IF(B129="","",IFERROR(VLOOKUP(B129,'Guest Directory'!$A$5:$B$304,2,FALSE),""))</f>
        <v/>
      </c>
      <c r="D129" s="7" t="n"/>
    </row>
    <row r="130">
      <c r="A130" s="21">
        <f>IF(B130="","",ROW()-4)</f>
        <v/>
      </c>
      <c r="B130" s="7" t="n"/>
      <c r="C130" s="22">
        <f>IF(B130="","",IFERROR(VLOOKUP(B130,'Guest Directory'!$A$5:$B$304,2,FALSE),""))</f>
        <v/>
      </c>
      <c r="D130" s="7" t="n"/>
    </row>
    <row r="131">
      <c r="A131" s="21">
        <f>IF(B131="","",ROW()-4)</f>
        <v/>
      </c>
      <c r="B131" s="7" t="n"/>
      <c r="C131" s="22">
        <f>IF(B131="","",IFERROR(VLOOKUP(B131,'Guest Directory'!$A$5:$B$304,2,FALSE),""))</f>
        <v/>
      </c>
      <c r="D131" s="7" t="n"/>
    </row>
    <row r="132">
      <c r="A132" s="21">
        <f>IF(B132="","",ROW()-4)</f>
        <v/>
      </c>
      <c r="B132" s="7" t="n"/>
      <c r="C132" s="22">
        <f>IF(B132="","",IFERROR(VLOOKUP(B132,'Guest Directory'!$A$5:$B$304,2,FALSE),""))</f>
        <v/>
      </c>
      <c r="D132" s="7" t="n"/>
    </row>
    <row r="133">
      <c r="A133" s="21">
        <f>IF(B133="","",ROW()-4)</f>
        <v/>
      </c>
      <c r="B133" s="7" t="n"/>
      <c r="C133" s="22">
        <f>IF(B133="","",IFERROR(VLOOKUP(B133,'Guest Directory'!$A$5:$B$304,2,FALSE),""))</f>
        <v/>
      </c>
      <c r="D133" s="7" t="n"/>
    </row>
    <row r="134">
      <c r="A134" s="21">
        <f>IF(B134="","",ROW()-4)</f>
        <v/>
      </c>
      <c r="B134" s="7" t="n"/>
      <c r="C134" s="22">
        <f>IF(B134="","",IFERROR(VLOOKUP(B134,'Guest Directory'!$A$5:$B$304,2,FALSE),""))</f>
        <v/>
      </c>
      <c r="D134" s="7" t="n"/>
    </row>
    <row r="135">
      <c r="A135" s="21">
        <f>IF(B135="","",ROW()-4)</f>
        <v/>
      </c>
      <c r="B135" s="7" t="n"/>
      <c r="C135" s="22">
        <f>IF(B135="","",IFERROR(VLOOKUP(B135,'Guest Directory'!$A$5:$B$304,2,FALSE),""))</f>
        <v/>
      </c>
      <c r="D135" s="7" t="n"/>
    </row>
    <row r="136">
      <c r="A136" s="21">
        <f>IF(B136="","",ROW()-4)</f>
        <v/>
      </c>
      <c r="B136" s="7" t="n"/>
      <c r="C136" s="22">
        <f>IF(B136="","",IFERROR(VLOOKUP(B136,'Guest Directory'!$A$5:$B$304,2,FALSE),""))</f>
        <v/>
      </c>
      <c r="D136" s="7" t="n"/>
    </row>
    <row r="137">
      <c r="A137" s="21">
        <f>IF(B137="","",ROW()-4)</f>
        <v/>
      </c>
      <c r="B137" s="7" t="n"/>
      <c r="C137" s="22">
        <f>IF(B137="","",IFERROR(VLOOKUP(B137,'Guest Directory'!$A$5:$B$304,2,FALSE),""))</f>
        <v/>
      </c>
      <c r="D137" s="7" t="n"/>
    </row>
    <row r="138">
      <c r="A138" s="21">
        <f>IF(B138="","",ROW()-4)</f>
        <v/>
      </c>
      <c r="B138" s="7" t="n"/>
      <c r="C138" s="22">
        <f>IF(B138="","",IFERROR(VLOOKUP(B138,'Guest Directory'!$A$5:$B$304,2,FALSE),""))</f>
        <v/>
      </c>
      <c r="D138" s="7" t="n"/>
    </row>
    <row r="139">
      <c r="A139" s="21">
        <f>IF(B139="","",ROW()-4)</f>
        <v/>
      </c>
      <c r="B139" s="7" t="n"/>
      <c r="C139" s="22">
        <f>IF(B139="","",IFERROR(VLOOKUP(B139,'Guest Directory'!$A$5:$B$304,2,FALSE),""))</f>
        <v/>
      </c>
      <c r="D139" s="7" t="n"/>
    </row>
    <row r="140">
      <c r="A140" s="21">
        <f>IF(B140="","",ROW()-4)</f>
        <v/>
      </c>
      <c r="B140" s="7" t="n"/>
      <c r="C140" s="22">
        <f>IF(B140="","",IFERROR(VLOOKUP(B140,'Guest Directory'!$A$5:$B$304,2,FALSE),""))</f>
        <v/>
      </c>
      <c r="D140" s="7" t="n"/>
    </row>
    <row r="141">
      <c r="A141" s="21">
        <f>IF(B141="","",ROW()-4)</f>
        <v/>
      </c>
      <c r="B141" s="7" t="n"/>
      <c r="C141" s="22">
        <f>IF(B141="","",IFERROR(VLOOKUP(B141,'Guest Directory'!$A$5:$B$304,2,FALSE),""))</f>
        <v/>
      </c>
      <c r="D141" s="7" t="n"/>
    </row>
    <row r="142">
      <c r="A142" s="21">
        <f>IF(B142="","",ROW()-4)</f>
        <v/>
      </c>
      <c r="B142" s="7" t="n"/>
      <c r="C142" s="22">
        <f>IF(B142="","",IFERROR(VLOOKUP(B142,'Guest Directory'!$A$5:$B$304,2,FALSE),""))</f>
        <v/>
      </c>
      <c r="D142" s="7" t="n"/>
    </row>
    <row r="143">
      <c r="A143" s="21">
        <f>IF(B143="","",ROW()-4)</f>
        <v/>
      </c>
      <c r="B143" s="7" t="n"/>
      <c r="C143" s="22">
        <f>IF(B143="","",IFERROR(VLOOKUP(B143,'Guest Directory'!$A$5:$B$304,2,FALSE),""))</f>
        <v/>
      </c>
      <c r="D143" s="7" t="n"/>
    </row>
    <row r="144">
      <c r="A144" s="21">
        <f>IF(B144="","",ROW()-4)</f>
        <v/>
      </c>
      <c r="B144" s="7" t="n"/>
      <c r="C144" s="22">
        <f>IF(B144="","",IFERROR(VLOOKUP(B144,'Guest Directory'!$A$5:$B$304,2,FALSE),""))</f>
        <v/>
      </c>
      <c r="D144" s="7" t="n"/>
    </row>
    <row r="145">
      <c r="A145" s="21">
        <f>IF(B145="","",ROW()-4)</f>
        <v/>
      </c>
      <c r="B145" s="7" t="n"/>
      <c r="C145" s="22">
        <f>IF(B145="","",IFERROR(VLOOKUP(B145,'Guest Directory'!$A$5:$B$304,2,FALSE),""))</f>
        <v/>
      </c>
      <c r="D145" s="7" t="n"/>
    </row>
    <row r="146">
      <c r="A146" s="21">
        <f>IF(B146="","",ROW()-4)</f>
        <v/>
      </c>
      <c r="B146" s="7" t="n"/>
      <c r="C146" s="22">
        <f>IF(B146="","",IFERROR(VLOOKUP(B146,'Guest Directory'!$A$5:$B$304,2,FALSE),""))</f>
        <v/>
      </c>
      <c r="D146" s="7" t="n"/>
    </row>
    <row r="147">
      <c r="A147" s="21">
        <f>IF(B147="","",ROW()-4)</f>
        <v/>
      </c>
      <c r="B147" s="7" t="n"/>
      <c r="C147" s="22">
        <f>IF(B147="","",IFERROR(VLOOKUP(B147,'Guest Directory'!$A$5:$B$304,2,FALSE),""))</f>
        <v/>
      </c>
      <c r="D147" s="7" t="n"/>
    </row>
    <row r="148">
      <c r="A148" s="21">
        <f>IF(B148="","",ROW()-4)</f>
        <v/>
      </c>
      <c r="B148" s="7" t="n"/>
      <c r="C148" s="22">
        <f>IF(B148="","",IFERROR(VLOOKUP(B148,'Guest Directory'!$A$5:$B$304,2,FALSE),""))</f>
        <v/>
      </c>
      <c r="D148" s="7" t="n"/>
    </row>
    <row r="149">
      <c r="A149" s="21">
        <f>IF(B149="","",ROW()-4)</f>
        <v/>
      </c>
      <c r="B149" s="7" t="n"/>
      <c r="C149" s="22">
        <f>IF(B149="","",IFERROR(VLOOKUP(B149,'Guest Directory'!$A$5:$B$304,2,FALSE),""))</f>
        <v/>
      </c>
      <c r="D149" s="7" t="n"/>
    </row>
    <row r="150">
      <c r="A150" s="21">
        <f>IF(B150="","",ROW()-4)</f>
        <v/>
      </c>
      <c r="B150" s="7" t="n"/>
      <c r="C150" s="22">
        <f>IF(B150="","",IFERROR(VLOOKUP(B150,'Guest Directory'!$A$5:$B$304,2,FALSE),""))</f>
        <v/>
      </c>
      <c r="D150" s="7" t="n"/>
    </row>
    <row r="151">
      <c r="A151" s="21">
        <f>IF(B151="","",ROW()-4)</f>
        <v/>
      </c>
      <c r="B151" s="7" t="n"/>
      <c r="C151" s="22">
        <f>IF(B151="","",IFERROR(VLOOKUP(B151,'Guest Directory'!$A$5:$B$304,2,FALSE),""))</f>
        <v/>
      </c>
      <c r="D151" s="7" t="n"/>
    </row>
    <row r="152">
      <c r="A152" s="21">
        <f>IF(B152="","",ROW()-4)</f>
        <v/>
      </c>
      <c r="B152" s="7" t="n"/>
      <c r="C152" s="22">
        <f>IF(B152="","",IFERROR(VLOOKUP(B152,'Guest Directory'!$A$5:$B$304,2,FALSE),""))</f>
        <v/>
      </c>
      <c r="D152" s="7" t="n"/>
    </row>
    <row r="153">
      <c r="A153" s="21">
        <f>IF(B153="","",ROW()-4)</f>
        <v/>
      </c>
      <c r="B153" s="7" t="n"/>
      <c r="C153" s="22">
        <f>IF(B153="","",IFERROR(VLOOKUP(B153,'Guest Directory'!$A$5:$B$304,2,FALSE),""))</f>
        <v/>
      </c>
      <c r="D153" s="7" t="n"/>
    </row>
    <row r="154">
      <c r="A154" s="21">
        <f>IF(B154="","",ROW()-4)</f>
        <v/>
      </c>
      <c r="B154" s="7" t="n"/>
      <c r="C154" s="22">
        <f>IF(B154="","",IFERROR(VLOOKUP(B154,'Guest Directory'!$A$5:$B$304,2,FALSE),""))</f>
        <v/>
      </c>
      <c r="D154" s="7" t="n"/>
    </row>
    <row r="155">
      <c r="A155" s="21">
        <f>IF(B155="","",ROW()-4)</f>
        <v/>
      </c>
      <c r="B155" s="7" t="n"/>
      <c r="C155" s="22">
        <f>IF(B155="","",IFERROR(VLOOKUP(B155,'Guest Directory'!$A$5:$B$304,2,FALSE),""))</f>
        <v/>
      </c>
      <c r="D155" s="7" t="n"/>
    </row>
    <row r="156">
      <c r="A156" s="21">
        <f>IF(B156="","",ROW()-4)</f>
        <v/>
      </c>
      <c r="B156" s="7" t="n"/>
      <c r="C156" s="22">
        <f>IF(B156="","",IFERROR(VLOOKUP(B156,'Guest Directory'!$A$5:$B$304,2,FALSE),""))</f>
        <v/>
      </c>
      <c r="D156" s="7" t="n"/>
    </row>
    <row r="157">
      <c r="A157" s="21">
        <f>IF(B157="","",ROW()-4)</f>
        <v/>
      </c>
      <c r="B157" s="7" t="n"/>
      <c r="C157" s="22">
        <f>IF(B157="","",IFERROR(VLOOKUP(B157,'Guest Directory'!$A$5:$B$304,2,FALSE),""))</f>
        <v/>
      </c>
      <c r="D157" s="7" t="n"/>
    </row>
    <row r="158">
      <c r="A158" s="21">
        <f>IF(B158="","",ROW()-4)</f>
        <v/>
      </c>
      <c r="B158" s="7" t="n"/>
      <c r="C158" s="22">
        <f>IF(B158="","",IFERROR(VLOOKUP(B158,'Guest Directory'!$A$5:$B$304,2,FALSE),""))</f>
        <v/>
      </c>
      <c r="D158" s="7" t="n"/>
    </row>
    <row r="159">
      <c r="A159" s="21">
        <f>IF(B159="","",ROW()-4)</f>
        <v/>
      </c>
      <c r="B159" s="7" t="n"/>
      <c r="C159" s="22">
        <f>IF(B159="","",IFERROR(VLOOKUP(B159,'Guest Directory'!$A$5:$B$304,2,FALSE),""))</f>
        <v/>
      </c>
      <c r="D159" s="7" t="n"/>
    </row>
    <row r="160">
      <c r="A160" s="21">
        <f>IF(B160="","",ROW()-4)</f>
        <v/>
      </c>
      <c r="B160" s="7" t="n"/>
      <c r="C160" s="22">
        <f>IF(B160="","",IFERROR(VLOOKUP(B160,'Guest Directory'!$A$5:$B$304,2,FALSE),""))</f>
        <v/>
      </c>
      <c r="D160" s="7" t="n"/>
    </row>
    <row r="161">
      <c r="A161" s="21">
        <f>IF(B161="","",ROW()-4)</f>
        <v/>
      </c>
      <c r="B161" s="7" t="n"/>
      <c r="C161" s="22">
        <f>IF(B161="","",IFERROR(VLOOKUP(B161,'Guest Directory'!$A$5:$B$304,2,FALSE),""))</f>
        <v/>
      </c>
      <c r="D161" s="7" t="n"/>
    </row>
    <row r="162">
      <c r="A162" s="21">
        <f>IF(B162="","",ROW()-4)</f>
        <v/>
      </c>
      <c r="B162" s="7" t="n"/>
      <c r="C162" s="22">
        <f>IF(B162="","",IFERROR(VLOOKUP(B162,'Guest Directory'!$A$5:$B$304,2,FALSE),""))</f>
        <v/>
      </c>
      <c r="D162" s="7" t="n"/>
    </row>
    <row r="163">
      <c r="A163" s="21">
        <f>IF(B163="","",ROW()-4)</f>
        <v/>
      </c>
      <c r="B163" s="7" t="n"/>
      <c r="C163" s="22">
        <f>IF(B163="","",IFERROR(VLOOKUP(B163,'Guest Directory'!$A$5:$B$304,2,FALSE),""))</f>
        <v/>
      </c>
      <c r="D163" s="7" t="n"/>
    </row>
    <row r="164">
      <c r="A164" s="21">
        <f>IF(B164="","",ROW()-4)</f>
        <v/>
      </c>
      <c r="B164" s="7" t="n"/>
      <c r="C164" s="22">
        <f>IF(B164="","",IFERROR(VLOOKUP(B164,'Guest Directory'!$A$5:$B$304,2,FALSE),""))</f>
        <v/>
      </c>
      <c r="D164" s="7" t="n"/>
    </row>
    <row r="165">
      <c r="A165" s="21">
        <f>IF(B165="","",ROW()-4)</f>
        <v/>
      </c>
      <c r="B165" s="7" t="n"/>
      <c r="C165" s="22">
        <f>IF(B165="","",IFERROR(VLOOKUP(B165,'Guest Directory'!$A$5:$B$304,2,FALSE),""))</f>
        <v/>
      </c>
      <c r="D165" s="7" t="n"/>
    </row>
    <row r="166">
      <c r="A166" s="21">
        <f>IF(B166="","",ROW()-4)</f>
        <v/>
      </c>
      <c r="B166" s="7" t="n"/>
      <c r="C166" s="22">
        <f>IF(B166="","",IFERROR(VLOOKUP(B166,'Guest Directory'!$A$5:$B$304,2,FALSE),""))</f>
        <v/>
      </c>
      <c r="D166" s="7" t="n"/>
    </row>
    <row r="167">
      <c r="A167" s="21">
        <f>IF(B167="","",ROW()-4)</f>
        <v/>
      </c>
      <c r="B167" s="7" t="n"/>
      <c r="C167" s="22">
        <f>IF(B167="","",IFERROR(VLOOKUP(B167,'Guest Directory'!$A$5:$B$304,2,FALSE),""))</f>
        <v/>
      </c>
      <c r="D167" s="7" t="n"/>
    </row>
    <row r="168">
      <c r="A168" s="21">
        <f>IF(B168="","",ROW()-4)</f>
        <v/>
      </c>
      <c r="B168" s="7" t="n"/>
      <c r="C168" s="22">
        <f>IF(B168="","",IFERROR(VLOOKUP(B168,'Guest Directory'!$A$5:$B$304,2,FALSE),""))</f>
        <v/>
      </c>
      <c r="D168" s="7" t="n"/>
    </row>
    <row r="169">
      <c r="A169" s="21">
        <f>IF(B169="","",ROW()-4)</f>
        <v/>
      </c>
      <c r="B169" s="7" t="n"/>
      <c r="C169" s="22">
        <f>IF(B169="","",IFERROR(VLOOKUP(B169,'Guest Directory'!$A$5:$B$304,2,FALSE),""))</f>
        <v/>
      </c>
      <c r="D169" s="7" t="n"/>
    </row>
    <row r="170">
      <c r="A170" s="21">
        <f>IF(B170="","",ROW()-4)</f>
        <v/>
      </c>
      <c r="B170" s="7" t="n"/>
      <c r="C170" s="22">
        <f>IF(B170="","",IFERROR(VLOOKUP(B170,'Guest Directory'!$A$5:$B$304,2,FALSE),""))</f>
        <v/>
      </c>
      <c r="D170" s="7" t="n"/>
    </row>
    <row r="171">
      <c r="A171" s="21">
        <f>IF(B171="","",ROW()-4)</f>
        <v/>
      </c>
      <c r="B171" s="7" t="n"/>
      <c r="C171" s="22">
        <f>IF(B171="","",IFERROR(VLOOKUP(B171,'Guest Directory'!$A$5:$B$304,2,FALSE),""))</f>
        <v/>
      </c>
      <c r="D171" s="7" t="n"/>
    </row>
    <row r="172">
      <c r="A172" s="21">
        <f>IF(B172="","",ROW()-4)</f>
        <v/>
      </c>
      <c r="B172" s="7" t="n"/>
      <c r="C172" s="22">
        <f>IF(B172="","",IFERROR(VLOOKUP(B172,'Guest Directory'!$A$5:$B$304,2,FALSE),""))</f>
        <v/>
      </c>
      <c r="D172" s="7" t="n"/>
    </row>
    <row r="173">
      <c r="A173" s="21">
        <f>IF(B173="","",ROW()-4)</f>
        <v/>
      </c>
      <c r="B173" s="7" t="n"/>
      <c r="C173" s="22">
        <f>IF(B173="","",IFERROR(VLOOKUP(B173,'Guest Directory'!$A$5:$B$304,2,FALSE),""))</f>
        <v/>
      </c>
      <c r="D173" s="7" t="n"/>
    </row>
    <row r="174">
      <c r="A174" s="21">
        <f>IF(B174="","",ROW()-4)</f>
        <v/>
      </c>
      <c r="B174" s="7" t="n"/>
      <c r="C174" s="22">
        <f>IF(B174="","",IFERROR(VLOOKUP(B174,'Guest Directory'!$A$5:$B$304,2,FALSE),""))</f>
        <v/>
      </c>
      <c r="D174" s="7" t="n"/>
    </row>
    <row r="175">
      <c r="A175" s="21">
        <f>IF(B175="","",ROW()-4)</f>
        <v/>
      </c>
      <c r="B175" s="7" t="n"/>
      <c r="C175" s="22">
        <f>IF(B175="","",IFERROR(VLOOKUP(B175,'Guest Directory'!$A$5:$B$304,2,FALSE),""))</f>
        <v/>
      </c>
      <c r="D175" s="7" t="n"/>
    </row>
    <row r="176">
      <c r="A176" s="21">
        <f>IF(B176="","",ROW()-4)</f>
        <v/>
      </c>
      <c r="B176" s="7" t="n"/>
      <c r="C176" s="22">
        <f>IF(B176="","",IFERROR(VLOOKUP(B176,'Guest Directory'!$A$5:$B$304,2,FALSE),""))</f>
        <v/>
      </c>
      <c r="D176" s="7" t="n"/>
    </row>
    <row r="177">
      <c r="A177" s="21">
        <f>IF(B177="","",ROW()-4)</f>
        <v/>
      </c>
      <c r="B177" s="7" t="n"/>
      <c r="C177" s="22">
        <f>IF(B177="","",IFERROR(VLOOKUP(B177,'Guest Directory'!$A$5:$B$304,2,FALSE),""))</f>
        <v/>
      </c>
      <c r="D177" s="7" t="n"/>
    </row>
    <row r="178">
      <c r="A178" s="21">
        <f>IF(B178="","",ROW()-4)</f>
        <v/>
      </c>
      <c r="B178" s="7" t="n"/>
      <c r="C178" s="22">
        <f>IF(B178="","",IFERROR(VLOOKUP(B178,'Guest Directory'!$A$5:$B$304,2,FALSE),""))</f>
        <v/>
      </c>
      <c r="D178" s="7" t="n"/>
    </row>
    <row r="179">
      <c r="A179" s="21">
        <f>IF(B179="","",ROW()-4)</f>
        <v/>
      </c>
      <c r="B179" s="7" t="n"/>
      <c r="C179" s="22">
        <f>IF(B179="","",IFERROR(VLOOKUP(B179,'Guest Directory'!$A$5:$B$304,2,FALSE),""))</f>
        <v/>
      </c>
      <c r="D179" s="7" t="n"/>
    </row>
    <row r="180">
      <c r="A180" s="21">
        <f>IF(B180="","",ROW()-4)</f>
        <v/>
      </c>
      <c r="B180" s="7" t="n"/>
      <c r="C180" s="22">
        <f>IF(B180="","",IFERROR(VLOOKUP(B180,'Guest Directory'!$A$5:$B$304,2,FALSE),""))</f>
        <v/>
      </c>
      <c r="D180" s="7" t="n"/>
    </row>
    <row r="181">
      <c r="A181" s="21">
        <f>IF(B181="","",ROW()-4)</f>
        <v/>
      </c>
      <c r="B181" s="7" t="n"/>
      <c r="C181" s="22">
        <f>IF(B181="","",IFERROR(VLOOKUP(B181,'Guest Directory'!$A$5:$B$304,2,FALSE),""))</f>
        <v/>
      </c>
      <c r="D181" s="7" t="n"/>
    </row>
    <row r="182">
      <c r="A182" s="21">
        <f>IF(B182="","",ROW()-4)</f>
        <v/>
      </c>
      <c r="B182" s="7" t="n"/>
      <c r="C182" s="22">
        <f>IF(B182="","",IFERROR(VLOOKUP(B182,'Guest Directory'!$A$5:$B$304,2,FALSE),""))</f>
        <v/>
      </c>
      <c r="D182" s="7" t="n"/>
    </row>
    <row r="183">
      <c r="A183" s="21">
        <f>IF(B183="","",ROW()-4)</f>
        <v/>
      </c>
      <c r="B183" s="7" t="n"/>
      <c r="C183" s="22">
        <f>IF(B183="","",IFERROR(VLOOKUP(B183,'Guest Directory'!$A$5:$B$304,2,FALSE),""))</f>
        <v/>
      </c>
      <c r="D183" s="7" t="n"/>
    </row>
    <row r="184">
      <c r="A184" s="21">
        <f>IF(B184="","",ROW()-4)</f>
        <v/>
      </c>
      <c r="B184" s="7" t="n"/>
      <c r="C184" s="22">
        <f>IF(B184="","",IFERROR(VLOOKUP(B184,'Guest Directory'!$A$5:$B$304,2,FALSE),""))</f>
        <v/>
      </c>
      <c r="D184" s="7" t="n"/>
    </row>
    <row r="185">
      <c r="A185" s="21">
        <f>IF(B185="","",ROW()-4)</f>
        <v/>
      </c>
      <c r="B185" s="7" t="n"/>
      <c r="C185" s="22">
        <f>IF(B185="","",IFERROR(VLOOKUP(B185,'Guest Directory'!$A$5:$B$304,2,FALSE),""))</f>
        <v/>
      </c>
      <c r="D185" s="7" t="n"/>
    </row>
    <row r="186">
      <c r="A186" s="21">
        <f>IF(B186="","",ROW()-4)</f>
        <v/>
      </c>
      <c r="B186" s="7" t="n"/>
      <c r="C186" s="22">
        <f>IF(B186="","",IFERROR(VLOOKUP(B186,'Guest Directory'!$A$5:$B$304,2,FALSE),""))</f>
        <v/>
      </c>
      <c r="D186" s="7" t="n"/>
    </row>
    <row r="187">
      <c r="A187" s="21">
        <f>IF(B187="","",ROW()-4)</f>
        <v/>
      </c>
      <c r="B187" s="7" t="n"/>
      <c r="C187" s="22">
        <f>IF(B187="","",IFERROR(VLOOKUP(B187,'Guest Directory'!$A$5:$B$304,2,FALSE),""))</f>
        <v/>
      </c>
      <c r="D187" s="7" t="n"/>
    </row>
    <row r="188">
      <c r="A188" s="21">
        <f>IF(B188="","",ROW()-4)</f>
        <v/>
      </c>
      <c r="B188" s="7" t="n"/>
      <c r="C188" s="22">
        <f>IF(B188="","",IFERROR(VLOOKUP(B188,'Guest Directory'!$A$5:$B$304,2,FALSE),""))</f>
        <v/>
      </c>
      <c r="D188" s="7" t="n"/>
    </row>
    <row r="189">
      <c r="A189" s="21">
        <f>IF(B189="","",ROW()-4)</f>
        <v/>
      </c>
      <c r="B189" s="7" t="n"/>
      <c r="C189" s="22">
        <f>IF(B189="","",IFERROR(VLOOKUP(B189,'Guest Directory'!$A$5:$B$304,2,FALSE),""))</f>
        <v/>
      </c>
      <c r="D189" s="7" t="n"/>
    </row>
    <row r="190">
      <c r="A190" s="21">
        <f>IF(B190="","",ROW()-4)</f>
        <v/>
      </c>
      <c r="B190" s="7" t="n"/>
      <c r="C190" s="22">
        <f>IF(B190="","",IFERROR(VLOOKUP(B190,'Guest Directory'!$A$5:$B$304,2,FALSE),""))</f>
        <v/>
      </c>
      <c r="D190" s="7" t="n"/>
    </row>
    <row r="191">
      <c r="A191" s="21">
        <f>IF(B191="","",ROW()-4)</f>
        <v/>
      </c>
      <c r="B191" s="7" t="n"/>
      <c r="C191" s="22">
        <f>IF(B191="","",IFERROR(VLOOKUP(B191,'Guest Directory'!$A$5:$B$304,2,FALSE),""))</f>
        <v/>
      </c>
      <c r="D191" s="7" t="n"/>
    </row>
    <row r="192">
      <c r="A192" s="21">
        <f>IF(B192="","",ROW()-4)</f>
        <v/>
      </c>
      <c r="B192" s="7" t="n"/>
      <c r="C192" s="22">
        <f>IF(B192="","",IFERROR(VLOOKUP(B192,'Guest Directory'!$A$5:$B$304,2,FALSE),""))</f>
        <v/>
      </c>
      <c r="D192" s="7" t="n"/>
    </row>
    <row r="193">
      <c r="A193" s="21">
        <f>IF(B193="","",ROW()-4)</f>
        <v/>
      </c>
      <c r="B193" s="7" t="n"/>
      <c r="C193" s="22">
        <f>IF(B193="","",IFERROR(VLOOKUP(B193,'Guest Directory'!$A$5:$B$304,2,FALSE),""))</f>
        <v/>
      </c>
      <c r="D193" s="7" t="n"/>
    </row>
    <row r="194">
      <c r="A194" s="21">
        <f>IF(B194="","",ROW()-4)</f>
        <v/>
      </c>
      <c r="B194" s="7" t="n"/>
      <c r="C194" s="22">
        <f>IF(B194="","",IFERROR(VLOOKUP(B194,'Guest Directory'!$A$5:$B$304,2,FALSE),""))</f>
        <v/>
      </c>
      <c r="D194" s="7" t="n"/>
    </row>
    <row r="195">
      <c r="A195" s="21">
        <f>IF(B195="","",ROW()-4)</f>
        <v/>
      </c>
      <c r="B195" s="7" t="n"/>
      <c r="C195" s="22">
        <f>IF(B195="","",IFERROR(VLOOKUP(B195,'Guest Directory'!$A$5:$B$304,2,FALSE),""))</f>
        <v/>
      </c>
      <c r="D195" s="7" t="n"/>
    </row>
    <row r="196">
      <c r="A196" s="21">
        <f>IF(B196="","",ROW()-4)</f>
        <v/>
      </c>
      <c r="B196" s="7" t="n"/>
      <c r="C196" s="22">
        <f>IF(B196="","",IFERROR(VLOOKUP(B196,'Guest Directory'!$A$5:$B$304,2,FALSE),""))</f>
        <v/>
      </c>
      <c r="D196" s="7" t="n"/>
    </row>
    <row r="197">
      <c r="A197" s="21">
        <f>IF(B197="","",ROW()-4)</f>
        <v/>
      </c>
      <c r="B197" s="7" t="n"/>
      <c r="C197" s="22">
        <f>IF(B197="","",IFERROR(VLOOKUP(B197,'Guest Directory'!$A$5:$B$304,2,FALSE),""))</f>
        <v/>
      </c>
      <c r="D197" s="7" t="n"/>
    </row>
    <row r="198">
      <c r="A198" s="21">
        <f>IF(B198="","",ROW()-4)</f>
        <v/>
      </c>
      <c r="B198" s="7" t="n"/>
      <c r="C198" s="22">
        <f>IF(B198="","",IFERROR(VLOOKUP(B198,'Guest Directory'!$A$5:$B$304,2,FALSE),""))</f>
        <v/>
      </c>
      <c r="D198" s="7" t="n"/>
    </row>
    <row r="199">
      <c r="A199" s="21">
        <f>IF(B199="","",ROW()-4)</f>
        <v/>
      </c>
      <c r="B199" s="7" t="n"/>
      <c r="C199" s="22">
        <f>IF(B199="","",IFERROR(VLOOKUP(B199,'Guest Directory'!$A$5:$B$304,2,FALSE),""))</f>
        <v/>
      </c>
      <c r="D199" s="7" t="n"/>
    </row>
    <row r="200">
      <c r="A200" s="21">
        <f>IF(B200="","",ROW()-4)</f>
        <v/>
      </c>
      <c r="B200" s="7" t="n"/>
      <c r="C200" s="22">
        <f>IF(B200="","",IFERROR(VLOOKUP(B200,'Guest Directory'!$A$5:$B$304,2,FALSE),""))</f>
        <v/>
      </c>
      <c r="D200" s="7" t="n"/>
    </row>
    <row r="201">
      <c r="A201" s="21">
        <f>IF(B201="","",ROW()-4)</f>
        <v/>
      </c>
      <c r="B201" s="7" t="n"/>
      <c r="C201" s="22">
        <f>IF(B201="","",IFERROR(VLOOKUP(B201,'Guest Directory'!$A$5:$B$304,2,FALSE),""))</f>
        <v/>
      </c>
      <c r="D201" s="7" t="n"/>
    </row>
    <row r="202">
      <c r="A202" s="21">
        <f>IF(B202="","",ROW()-4)</f>
        <v/>
      </c>
      <c r="B202" s="7" t="n"/>
      <c r="C202" s="22">
        <f>IF(B202="","",IFERROR(VLOOKUP(B202,'Guest Directory'!$A$5:$B$304,2,FALSE),""))</f>
        <v/>
      </c>
      <c r="D202" s="7" t="n"/>
    </row>
    <row r="203">
      <c r="A203" s="21">
        <f>IF(B203="","",ROW()-4)</f>
        <v/>
      </c>
      <c r="B203" s="7" t="n"/>
      <c r="C203" s="22">
        <f>IF(B203="","",IFERROR(VLOOKUP(B203,'Guest Directory'!$A$5:$B$304,2,FALSE),""))</f>
        <v/>
      </c>
      <c r="D203" s="7" t="n"/>
    </row>
    <row r="204">
      <c r="A204" s="21">
        <f>IF(B204="","",ROW()-4)</f>
        <v/>
      </c>
      <c r="B204" s="7" t="n"/>
      <c r="C204" s="22">
        <f>IF(B204="","",IFERROR(VLOOKUP(B204,'Guest Directory'!$A$5:$B$304,2,FALSE),""))</f>
        <v/>
      </c>
      <c r="D204" s="7" t="n"/>
    </row>
    <row r="205">
      <c r="A205" s="21">
        <f>IF(B205="","",ROW()-4)</f>
        <v/>
      </c>
      <c r="B205" s="7" t="n"/>
      <c r="C205" s="22">
        <f>IF(B205="","",IFERROR(VLOOKUP(B205,'Guest Directory'!$A$5:$B$304,2,FALSE),""))</f>
        <v/>
      </c>
      <c r="D205" s="7" t="n"/>
    </row>
    <row r="206">
      <c r="A206" s="21">
        <f>IF(B206="","",ROW()-4)</f>
        <v/>
      </c>
      <c r="B206" s="7" t="n"/>
      <c r="C206" s="22">
        <f>IF(B206="","",IFERROR(VLOOKUP(B206,'Guest Directory'!$A$5:$B$304,2,FALSE),""))</f>
        <v/>
      </c>
      <c r="D206" s="7" t="n"/>
    </row>
    <row r="207">
      <c r="A207" s="21">
        <f>IF(B207="","",ROW()-4)</f>
        <v/>
      </c>
      <c r="B207" s="7" t="n"/>
      <c r="C207" s="22">
        <f>IF(B207="","",IFERROR(VLOOKUP(B207,'Guest Directory'!$A$5:$B$304,2,FALSE),""))</f>
        <v/>
      </c>
      <c r="D207" s="7" t="n"/>
    </row>
    <row r="208">
      <c r="A208" s="21">
        <f>IF(B208="","",ROW()-4)</f>
        <v/>
      </c>
      <c r="B208" s="7" t="n"/>
      <c r="C208" s="22">
        <f>IF(B208="","",IFERROR(VLOOKUP(B208,'Guest Directory'!$A$5:$B$304,2,FALSE),""))</f>
        <v/>
      </c>
      <c r="D208" s="7" t="n"/>
    </row>
    <row r="209">
      <c r="A209" s="21">
        <f>IF(B209="","",ROW()-4)</f>
        <v/>
      </c>
      <c r="B209" s="7" t="n"/>
      <c r="C209" s="22">
        <f>IF(B209="","",IFERROR(VLOOKUP(B209,'Guest Directory'!$A$5:$B$304,2,FALSE),""))</f>
        <v/>
      </c>
      <c r="D209" s="7" t="n"/>
    </row>
    <row r="210">
      <c r="A210" s="21">
        <f>IF(B210="","",ROW()-4)</f>
        <v/>
      </c>
      <c r="B210" s="7" t="n"/>
      <c r="C210" s="22">
        <f>IF(B210="","",IFERROR(VLOOKUP(B210,'Guest Directory'!$A$5:$B$304,2,FALSE),""))</f>
        <v/>
      </c>
      <c r="D210" s="7" t="n"/>
    </row>
    <row r="211">
      <c r="A211" s="21">
        <f>IF(B211="","",ROW()-4)</f>
        <v/>
      </c>
      <c r="B211" s="7" t="n"/>
      <c r="C211" s="22">
        <f>IF(B211="","",IFERROR(VLOOKUP(B211,'Guest Directory'!$A$5:$B$304,2,FALSE),""))</f>
        <v/>
      </c>
      <c r="D211" s="7" t="n"/>
    </row>
    <row r="212">
      <c r="A212" s="21">
        <f>IF(B212="","",ROW()-4)</f>
        <v/>
      </c>
      <c r="B212" s="7" t="n"/>
      <c r="C212" s="22">
        <f>IF(B212="","",IFERROR(VLOOKUP(B212,'Guest Directory'!$A$5:$B$304,2,FALSE),""))</f>
        <v/>
      </c>
      <c r="D212" s="7" t="n"/>
    </row>
    <row r="213">
      <c r="A213" s="21">
        <f>IF(B213="","",ROW()-4)</f>
        <v/>
      </c>
      <c r="B213" s="7" t="n"/>
      <c r="C213" s="22">
        <f>IF(B213="","",IFERROR(VLOOKUP(B213,'Guest Directory'!$A$5:$B$304,2,FALSE),""))</f>
        <v/>
      </c>
      <c r="D213" s="7" t="n"/>
    </row>
    <row r="214">
      <c r="A214" s="21">
        <f>IF(B214="","",ROW()-4)</f>
        <v/>
      </c>
      <c r="B214" s="7" t="n"/>
      <c r="C214" s="22">
        <f>IF(B214="","",IFERROR(VLOOKUP(B214,'Guest Directory'!$A$5:$B$304,2,FALSE),""))</f>
        <v/>
      </c>
      <c r="D214" s="7" t="n"/>
    </row>
    <row r="215">
      <c r="A215" s="21">
        <f>IF(B215="","",ROW()-4)</f>
        <v/>
      </c>
      <c r="B215" s="7" t="n"/>
      <c r="C215" s="22">
        <f>IF(B215="","",IFERROR(VLOOKUP(B215,'Guest Directory'!$A$5:$B$304,2,FALSE),""))</f>
        <v/>
      </c>
      <c r="D215" s="7" t="n"/>
    </row>
    <row r="216">
      <c r="A216" s="21">
        <f>IF(B216="","",ROW()-4)</f>
        <v/>
      </c>
      <c r="B216" s="7" t="n"/>
      <c r="C216" s="22">
        <f>IF(B216="","",IFERROR(VLOOKUP(B216,'Guest Directory'!$A$5:$B$304,2,FALSE),""))</f>
        <v/>
      </c>
      <c r="D216" s="7" t="n"/>
    </row>
    <row r="217">
      <c r="A217" s="21">
        <f>IF(B217="","",ROW()-4)</f>
        <v/>
      </c>
      <c r="B217" s="7" t="n"/>
      <c r="C217" s="22">
        <f>IF(B217="","",IFERROR(VLOOKUP(B217,'Guest Directory'!$A$5:$B$304,2,FALSE),""))</f>
        <v/>
      </c>
      <c r="D217" s="7" t="n"/>
    </row>
    <row r="218">
      <c r="A218" s="21">
        <f>IF(B218="","",ROW()-4)</f>
        <v/>
      </c>
      <c r="B218" s="7" t="n"/>
      <c r="C218" s="22">
        <f>IF(B218="","",IFERROR(VLOOKUP(B218,'Guest Directory'!$A$5:$B$304,2,FALSE),""))</f>
        <v/>
      </c>
      <c r="D218" s="7" t="n"/>
    </row>
    <row r="219">
      <c r="A219" s="21">
        <f>IF(B219="","",ROW()-4)</f>
        <v/>
      </c>
      <c r="B219" s="7" t="n"/>
      <c r="C219" s="22">
        <f>IF(B219="","",IFERROR(VLOOKUP(B219,'Guest Directory'!$A$5:$B$304,2,FALSE),""))</f>
        <v/>
      </c>
      <c r="D219" s="7" t="n"/>
    </row>
    <row r="220">
      <c r="A220" s="21">
        <f>IF(B220="","",ROW()-4)</f>
        <v/>
      </c>
      <c r="B220" s="7" t="n"/>
      <c r="C220" s="22">
        <f>IF(B220="","",IFERROR(VLOOKUP(B220,'Guest Directory'!$A$5:$B$304,2,FALSE),""))</f>
        <v/>
      </c>
      <c r="D220" s="7" t="n"/>
    </row>
    <row r="221">
      <c r="A221" s="21">
        <f>IF(B221="","",ROW()-4)</f>
        <v/>
      </c>
      <c r="B221" s="7" t="n"/>
      <c r="C221" s="22">
        <f>IF(B221="","",IFERROR(VLOOKUP(B221,'Guest Directory'!$A$5:$B$304,2,FALSE),""))</f>
        <v/>
      </c>
      <c r="D221" s="7" t="n"/>
    </row>
    <row r="222">
      <c r="A222" s="21">
        <f>IF(B222="","",ROW()-4)</f>
        <v/>
      </c>
      <c r="B222" s="7" t="n"/>
      <c r="C222" s="22">
        <f>IF(B222="","",IFERROR(VLOOKUP(B222,'Guest Directory'!$A$5:$B$304,2,FALSE),""))</f>
        <v/>
      </c>
      <c r="D222" s="7" t="n"/>
    </row>
    <row r="223">
      <c r="A223" s="21">
        <f>IF(B223="","",ROW()-4)</f>
        <v/>
      </c>
      <c r="B223" s="7" t="n"/>
      <c r="C223" s="22">
        <f>IF(B223="","",IFERROR(VLOOKUP(B223,'Guest Directory'!$A$5:$B$304,2,FALSE),""))</f>
        <v/>
      </c>
      <c r="D223" s="7" t="n"/>
    </row>
    <row r="224">
      <c r="A224" s="21">
        <f>IF(B224="","",ROW()-4)</f>
        <v/>
      </c>
      <c r="B224" s="7" t="n"/>
      <c r="C224" s="22">
        <f>IF(B224="","",IFERROR(VLOOKUP(B224,'Guest Directory'!$A$5:$B$304,2,FALSE),""))</f>
        <v/>
      </c>
      <c r="D224" s="7" t="n"/>
    </row>
    <row r="225">
      <c r="A225" s="21">
        <f>IF(B225="","",ROW()-4)</f>
        <v/>
      </c>
      <c r="B225" s="7" t="n"/>
      <c r="C225" s="22">
        <f>IF(B225="","",IFERROR(VLOOKUP(B225,'Guest Directory'!$A$5:$B$304,2,FALSE),""))</f>
        <v/>
      </c>
      <c r="D225" s="7" t="n"/>
    </row>
    <row r="226">
      <c r="A226" s="21">
        <f>IF(B226="","",ROW()-4)</f>
        <v/>
      </c>
      <c r="B226" s="7" t="n"/>
      <c r="C226" s="22">
        <f>IF(B226="","",IFERROR(VLOOKUP(B226,'Guest Directory'!$A$5:$B$304,2,FALSE),""))</f>
        <v/>
      </c>
      <c r="D226" s="7" t="n"/>
    </row>
    <row r="227">
      <c r="A227" s="21">
        <f>IF(B227="","",ROW()-4)</f>
        <v/>
      </c>
      <c r="B227" s="7" t="n"/>
      <c r="C227" s="22">
        <f>IF(B227="","",IFERROR(VLOOKUP(B227,'Guest Directory'!$A$5:$B$304,2,FALSE),""))</f>
        <v/>
      </c>
      <c r="D227" s="7" t="n"/>
    </row>
    <row r="228">
      <c r="A228" s="21">
        <f>IF(B228="","",ROW()-4)</f>
        <v/>
      </c>
      <c r="B228" s="7" t="n"/>
      <c r="C228" s="22">
        <f>IF(B228="","",IFERROR(VLOOKUP(B228,'Guest Directory'!$A$5:$B$304,2,FALSE),""))</f>
        <v/>
      </c>
      <c r="D228" s="7" t="n"/>
    </row>
    <row r="229">
      <c r="A229" s="21">
        <f>IF(B229="","",ROW()-4)</f>
        <v/>
      </c>
      <c r="B229" s="7" t="n"/>
      <c r="C229" s="22">
        <f>IF(B229="","",IFERROR(VLOOKUP(B229,'Guest Directory'!$A$5:$B$304,2,FALSE),""))</f>
        <v/>
      </c>
      <c r="D229" s="7" t="n"/>
    </row>
    <row r="230">
      <c r="A230" s="21">
        <f>IF(B230="","",ROW()-4)</f>
        <v/>
      </c>
      <c r="B230" s="7" t="n"/>
      <c r="C230" s="22">
        <f>IF(B230="","",IFERROR(VLOOKUP(B230,'Guest Directory'!$A$5:$B$304,2,FALSE),""))</f>
        <v/>
      </c>
      <c r="D230" s="7" t="n"/>
    </row>
    <row r="231">
      <c r="A231" s="21">
        <f>IF(B231="","",ROW()-4)</f>
        <v/>
      </c>
      <c r="B231" s="7" t="n"/>
      <c r="C231" s="22">
        <f>IF(B231="","",IFERROR(VLOOKUP(B231,'Guest Directory'!$A$5:$B$304,2,FALSE),""))</f>
        <v/>
      </c>
      <c r="D231" s="7" t="n"/>
    </row>
    <row r="232">
      <c r="A232" s="21">
        <f>IF(B232="","",ROW()-4)</f>
        <v/>
      </c>
      <c r="B232" s="7" t="n"/>
      <c r="C232" s="22">
        <f>IF(B232="","",IFERROR(VLOOKUP(B232,'Guest Directory'!$A$5:$B$304,2,FALSE),""))</f>
        <v/>
      </c>
      <c r="D232" s="7" t="n"/>
    </row>
    <row r="233">
      <c r="A233" s="21">
        <f>IF(B233="","",ROW()-4)</f>
        <v/>
      </c>
      <c r="B233" s="7" t="n"/>
      <c r="C233" s="22">
        <f>IF(B233="","",IFERROR(VLOOKUP(B233,'Guest Directory'!$A$5:$B$304,2,FALSE),""))</f>
        <v/>
      </c>
      <c r="D233" s="7" t="n"/>
    </row>
    <row r="234">
      <c r="A234" s="21">
        <f>IF(B234="","",ROW()-4)</f>
        <v/>
      </c>
      <c r="B234" s="7" t="n"/>
      <c r="C234" s="22">
        <f>IF(B234="","",IFERROR(VLOOKUP(B234,'Guest Directory'!$A$5:$B$304,2,FALSE),""))</f>
        <v/>
      </c>
      <c r="D234" s="7" t="n"/>
    </row>
    <row r="235">
      <c r="A235" s="21">
        <f>IF(B235="","",ROW()-4)</f>
        <v/>
      </c>
      <c r="B235" s="7" t="n"/>
      <c r="C235" s="22">
        <f>IF(B235="","",IFERROR(VLOOKUP(B235,'Guest Directory'!$A$5:$B$304,2,FALSE),""))</f>
        <v/>
      </c>
      <c r="D235" s="7" t="n"/>
    </row>
    <row r="236">
      <c r="A236" s="21">
        <f>IF(B236="","",ROW()-4)</f>
        <v/>
      </c>
      <c r="B236" s="7" t="n"/>
      <c r="C236" s="22">
        <f>IF(B236="","",IFERROR(VLOOKUP(B236,'Guest Directory'!$A$5:$B$304,2,FALSE),""))</f>
        <v/>
      </c>
      <c r="D236" s="7" t="n"/>
    </row>
    <row r="237">
      <c r="A237" s="21">
        <f>IF(B237="","",ROW()-4)</f>
        <v/>
      </c>
      <c r="B237" s="7" t="n"/>
      <c r="C237" s="22">
        <f>IF(B237="","",IFERROR(VLOOKUP(B237,'Guest Directory'!$A$5:$B$304,2,FALSE),""))</f>
        <v/>
      </c>
      <c r="D237" s="7" t="n"/>
    </row>
    <row r="238">
      <c r="A238" s="21">
        <f>IF(B238="","",ROW()-4)</f>
        <v/>
      </c>
      <c r="B238" s="7" t="n"/>
      <c r="C238" s="22">
        <f>IF(B238="","",IFERROR(VLOOKUP(B238,'Guest Directory'!$A$5:$B$304,2,FALSE),""))</f>
        <v/>
      </c>
      <c r="D238" s="7" t="n"/>
    </row>
    <row r="239">
      <c r="A239" s="21">
        <f>IF(B239="","",ROW()-4)</f>
        <v/>
      </c>
      <c r="B239" s="7" t="n"/>
      <c r="C239" s="22">
        <f>IF(B239="","",IFERROR(VLOOKUP(B239,'Guest Directory'!$A$5:$B$304,2,FALSE),""))</f>
        <v/>
      </c>
      <c r="D239" s="7" t="n"/>
    </row>
    <row r="240">
      <c r="A240" s="21">
        <f>IF(B240="","",ROW()-4)</f>
        <v/>
      </c>
      <c r="B240" s="7" t="n"/>
      <c r="C240" s="22">
        <f>IF(B240="","",IFERROR(VLOOKUP(B240,'Guest Directory'!$A$5:$B$304,2,FALSE),""))</f>
        <v/>
      </c>
      <c r="D240" s="7" t="n"/>
    </row>
    <row r="241">
      <c r="A241" s="21">
        <f>IF(B241="","",ROW()-4)</f>
        <v/>
      </c>
      <c r="B241" s="7" t="n"/>
      <c r="C241" s="22">
        <f>IF(B241="","",IFERROR(VLOOKUP(B241,'Guest Directory'!$A$5:$B$304,2,FALSE),""))</f>
        <v/>
      </c>
      <c r="D241" s="7" t="n"/>
    </row>
    <row r="242">
      <c r="A242" s="21">
        <f>IF(B242="","",ROW()-4)</f>
        <v/>
      </c>
      <c r="B242" s="7" t="n"/>
      <c r="C242" s="22">
        <f>IF(B242="","",IFERROR(VLOOKUP(B242,'Guest Directory'!$A$5:$B$304,2,FALSE),""))</f>
        <v/>
      </c>
      <c r="D242" s="7" t="n"/>
    </row>
    <row r="243">
      <c r="A243" s="21">
        <f>IF(B243="","",ROW()-4)</f>
        <v/>
      </c>
      <c r="B243" s="7" t="n"/>
      <c r="C243" s="22">
        <f>IF(B243="","",IFERROR(VLOOKUP(B243,'Guest Directory'!$A$5:$B$304,2,FALSE),""))</f>
        <v/>
      </c>
      <c r="D243" s="7" t="n"/>
    </row>
    <row r="244">
      <c r="A244" s="21">
        <f>IF(B244="","",ROW()-4)</f>
        <v/>
      </c>
      <c r="B244" s="7" t="n"/>
      <c r="C244" s="22">
        <f>IF(B244="","",IFERROR(VLOOKUP(B244,'Guest Directory'!$A$5:$B$304,2,FALSE),""))</f>
        <v/>
      </c>
      <c r="D244" s="7" t="n"/>
    </row>
    <row r="245">
      <c r="A245" s="21">
        <f>IF(B245="","",ROW()-4)</f>
        <v/>
      </c>
      <c r="B245" s="7" t="n"/>
      <c r="C245" s="22">
        <f>IF(B245="","",IFERROR(VLOOKUP(B245,'Guest Directory'!$A$5:$B$304,2,FALSE),""))</f>
        <v/>
      </c>
      <c r="D245" s="7" t="n"/>
    </row>
    <row r="246">
      <c r="A246" s="21">
        <f>IF(B246="","",ROW()-4)</f>
        <v/>
      </c>
      <c r="B246" s="7" t="n"/>
      <c r="C246" s="22">
        <f>IF(B246="","",IFERROR(VLOOKUP(B246,'Guest Directory'!$A$5:$B$304,2,FALSE),""))</f>
        <v/>
      </c>
      <c r="D246" s="7" t="n"/>
    </row>
    <row r="247">
      <c r="A247" s="21">
        <f>IF(B247="","",ROW()-4)</f>
        <v/>
      </c>
      <c r="B247" s="7" t="n"/>
      <c r="C247" s="22">
        <f>IF(B247="","",IFERROR(VLOOKUP(B247,'Guest Directory'!$A$5:$B$304,2,FALSE),""))</f>
        <v/>
      </c>
      <c r="D247" s="7" t="n"/>
    </row>
    <row r="248">
      <c r="A248" s="21">
        <f>IF(B248="","",ROW()-4)</f>
        <v/>
      </c>
      <c r="B248" s="7" t="n"/>
      <c r="C248" s="22">
        <f>IF(B248="","",IFERROR(VLOOKUP(B248,'Guest Directory'!$A$5:$B$304,2,FALSE),""))</f>
        <v/>
      </c>
      <c r="D248" s="7" t="n"/>
    </row>
    <row r="249">
      <c r="A249" s="21">
        <f>IF(B249="","",ROW()-4)</f>
        <v/>
      </c>
      <c r="B249" s="7" t="n"/>
      <c r="C249" s="22">
        <f>IF(B249="","",IFERROR(VLOOKUP(B249,'Guest Directory'!$A$5:$B$304,2,FALSE),""))</f>
        <v/>
      </c>
      <c r="D249" s="7" t="n"/>
    </row>
    <row r="250">
      <c r="A250" s="21">
        <f>IF(B250="","",ROW()-4)</f>
        <v/>
      </c>
      <c r="B250" s="7" t="n"/>
      <c r="C250" s="22">
        <f>IF(B250="","",IFERROR(VLOOKUP(B250,'Guest Directory'!$A$5:$B$304,2,FALSE),""))</f>
        <v/>
      </c>
      <c r="D250" s="7" t="n"/>
    </row>
    <row r="251">
      <c r="A251" s="21">
        <f>IF(B251="","",ROW()-4)</f>
        <v/>
      </c>
      <c r="B251" s="7" t="n"/>
      <c r="C251" s="22">
        <f>IF(B251="","",IFERROR(VLOOKUP(B251,'Guest Directory'!$A$5:$B$304,2,FALSE),""))</f>
        <v/>
      </c>
      <c r="D251" s="7" t="n"/>
    </row>
    <row r="252">
      <c r="A252" s="21">
        <f>IF(B252="","",ROW()-4)</f>
        <v/>
      </c>
      <c r="B252" s="7" t="n"/>
      <c r="C252" s="22">
        <f>IF(B252="","",IFERROR(VLOOKUP(B252,'Guest Directory'!$A$5:$B$304,2,FALSE),""))</f>
        <v/>
      </c>
      <c r="D252" s="7" t="n"/>
    </row>
    <row r="253">
      <c r="A253" s="21">
        <f>IF(B253="","",ROW()-4)</f>
        <v/>
      </c>
      <c r="B253" s="7" t="n"/>
      <c r="C253" s="22">
        <f>IF(B253="","",IFERROR(VLOOKUP(B253,'Guest Directory'!$A$5:$B$304,2,FALSE),""))</f>
        <v/>
      </c>
      <c r="D253" s="7" t="n"/>
    </row>
    <row r="254">
      <c r="A254" s="21">
        <f>IF(B254="","",ROW()-4)</f>
        <v/>
      </c>
      <c r="B254" s="7" t="n"/>
      <c r="C254" s="22">
        <f>IF(B254="","",IFERROR(VLOOKUP(B254,'Guest Directory'!$A$5:$B$304,2,FALSE),""))</f>
        <v/>
      </c>
      <c r="D254" s="7" t="n"/>
    </row>
    <row r="255">
      <c r="A255" s="21">
        <f>IF(B255="","",ROW()-4)</f>
        <v/>
      </c>
      <c r="B255" s="7" t="n"/>
      <c r="C255" s="22">
        <f>IF(B255="","",IFERROR(VLOOKUP(B255,'Guest Directory'!$A$5:$B$304,2,FALSE),""))</f>
        <v/>
      </c>
      <c r="D255" s="7" t="n"/>
    </row>
    <row r="256">
      <c r="A256" s="21">
        <f>IF(B256="","",ROW()-4)</f>
        <v/>
      </c>
      <c r="B256" s="7" t="n"/>
      <c r="C256" s="22">
        <f>IF(B256="","",IFERROR(VLOOKUP(B256,'Guest Directory'!$A$5:$B$304,2,FALSE),""))</f>
        <v/>
      </c>
      <c r="D256" s="7" t="n"/>
    </row>
    <row r="257">
      <c r="A257" s="21">
        <f>IF(B257="","",ROW()-4)</f>
        <v/>
      </c>
      <c r="B257" s="7" t="n"/>
      <c r="C257" s="22">
        <f>IF(B257="","",IFERROR(VLOOKUP(B257,'Guest Directory'!$A$5:$B$304,2,FALSE),""))</f>
        <v/>
      </c>
      <c r="D257" s="7" t="n"/>
    </row>
    <row r="258">
      <c r="A258" s="21">
        <f>IF(B258="","",ROW()-4)</f>
        <v/>
      </c>
      <c r="B258" s="7" t="n"/>
      <c r="C258" s="22">
        <f>IF(B258="","",IFERROR(VLOOKUP(B258,'Guest Directory'!$A$5:$B$304,2,FALSE),""))</f>
        <v/>
      </c>
      <c r="D258" s="7" t="n"/>
    </row>
    <row r="259">
      <c r="A259" s="21">
        <f>IF(B259="","",ROW()-4)</f>
        <v/>
      </c>
      <c r="B259" s="7" t="n"/>
      <c r="C259" s="22">
        <f>IF(B259="","",IFERROR(VLOOKUP(B259,'Guest Directory'!$A$5:$B$304,2,FALSE),""))</f>
        <v/>
      </c>
      <c r="D259" s="7" t="n"/>
    </row>
    <row r="260">
      <c r="A260" s="21">
        <f>IF(B260="","",ROW()-4)</f>
        <v/>
      </c>
      <c r="B260" s="7" t="n"/>
      <c r="C260" s="22">
        <f>IF(B260="","",IFERROR(VLOOKUP(B260,'Guest Directory'!$A$5:$B$304,2,FALSE),""))</f>
        <v/>
      </c>
      <c r="D260" s="7" t="n"/>
    </row>
    <row r="261">
      <c r="A261" s="21">
        <f>IF(B261="","",ROW()-4)</f>
        <v/>
      </c>
      <c r="B261" s="7" t="n"/>
      <c r="C261" s="22">
        <f>IF(B261="","",IFERROR(VLOOKUP(B261,'Guest Directory'!$A$5:$B$304,2,FALSE),""))</f>
        <v/>
      </c>
      <c r="D261" s="7" t="n"/>
    </row>
    <row r="262">
      <c r="A262" s="21">
        <f>IF(B262="","",ROW()-4)</f>
        <v/>
      </c>
      <c r="B262" s="7" t="n"/>
      <c r="C262" s="22">
        <f>IF(B262="","",IFERROR(VLOOKUP(B262,'Guest Directory'!$A$5:$B$304,2,FALSE),""))</f>
        <v/>
      </c>
      <c r="D262" s="7" t="n"/>
    </row>
    <row r="263">
      <c r="A263" s="21">
        <f>IF(B263="","",ROW()-4)</f>
        <v/>
      </c>
      <c r="B263" s="7" t="n"/>
      <c r="C263" s="22">
        <f>IF(B263="","",IFERROR(VLOOKUP(B263,'Guest Directory'!$A$5:$B$304,2,FALSE),""))</f>
        <v/>
      </c>
      <c r="D263" s="7" t="n"/>
    </row>
    <row r="264">
      <c r="A264" s="21">
        <f>IF(B264="","",ROW()-4)</f>
        <v/>
      </c>
      <c r="B264" s="7" t="n"/>
      <c r="C264" s="22">
        <f>IF(B264="","",IFERROR(VLOOKUP(B264,'Guest Directory'!$A$5:$B$304,2,FALSE),""))</f>
        <v/>
      </c>
      <c r="D264" s="7" t="n"/>
    </row>
    <row r="265">
      <c r="A265" s="21">
        <f>IF(B265="","",ROW()-4)</f>
        <v/>
      </c>
      <c r="B265" s="7" t="n"/>
      <c r="C265" s="22">
        <f>IF(B265="","",IFERROR(VLOOKUP(B265,'Guest Directory'!$A$5:$B$304,2,FALSE),""))</f>
        <v/>
      </c>
      <c r="D265" s="7" t="n"/>
    </row>
    <row r="266">
      <c r="A266" s="21">
        <f>IF(B266="","",ROW()-4)</f>
        <v/>
      </c>
      <c r="B266" s="7" t="n"/>
      <c r="C266" s="22">
        <f>IF(B266="","",IFERROR(VLOOKUP(B266,'Guest Directory'!$A$5:$B$304,2,FALSE),""))</f>
        <v/>
      </c>
      <c r="D266" s="7" t="n"/>
    </row>
    <row r="267">
      <c r="A267" s="21">
        <f>IF(B267="","",ROW()-4)</f>
        <v/>
      </c>
      <c r="B267" s="7" t="n"/>
      <c r="C267" s="22">
        <f>IF(B267="","",IFERROR(VLOOKUP(B267,'Guest Directory'!$A$5:$B$304,2,FALSE),""))</f>
        <v/>
      </c>
      <c r="D267" s="7" t="n"/>
    </row>
    <row r="268">
      <c r="A268" s="21">
        <f>IF(B268="","",ROW()-4)</f>
        <v/>
      </c>
      <c r="B268" s="7" t="n"/>
      <c r="C268" s="22">
        <f>IF(B268="","",IFERROR(VLOOKUP(B268,'Guest Directory'!$A$5:$B$304,2,FALSE),""))</f>
        <v/>
      </c>
      <c r="D268" s="7" t="n"/>
    </row>
    <row r="269">
      <c r="A269" s="21">
        <f>IF(B269="","",ROW()-4)</f>
        <v/>
      </c>
      <c r="B269" s="7" t="n"/>
      <c r="C269" s="22">
        <f>IF(B269="","",IFERROR(VLOOKUP(B269,'Guest Directory'!$A$5:$B$304,2,FALSE),""))</f>
        <v/>
      </c>
      <c r="D269" s="7" t="n"/>
    </row>
    <row r="270">
      <c r="A270" s="21">
        <f>IF(B270="","",ROW()-4)</f>
        <v/>
      </c>
      <c r="B270" s="7" t="n"/>
      <c r="C270" s="22">
        <f>IF(B270="","",IFERROR(VLOOKUP(B270,'Guest Directory'!$A$5:$B$304,2,FALSE),""))</f>
        <v/>
      </c>
      <c r="D270" s="7" t="n"/>
    </row>
    <row r="271">
      <c r="A271" s="21">
        <f>IF(B271="","",ROW()-4)</f>
        <v/>
      </c>
      <c r="B271" s="7" t="n"/>
      <c r="C271" s="22">
        <f>IF(B271="","",IFERROR(VLOOKUP(B271,'Guest Directory'!$A$5:$B$304,2,FALSE),""))</f>
        <v/>
      </c>
      <c r="D271" s="7" t="n"/>
    </row>
    <row r="272">
      <c r="A272" s="21">
        <f>IF(B272="","",ROW()-4)</f>
        <v/>
      </c>
      <c r="B272" s="7" t="n"/>
      <c r="C272" s="22">
        <f>IF(B272="","",IFERROR(VLOOKUP(B272,'Guest Directory'!$A$5:$B$304,2,FALSE),""))</f>
        <v/>
      </c>
      <c r="D272" s="7" t="n"/>
    </row>
    <row r="273">
      <c r="A273" s="21">
        <f>IF(B273="","",ROW()-4)</f>
        <v/>
      </c>
      <c r="B273" s="7" t="n"/>
      <c r="C273" s="22">
        <f>IF(B273="","",IFERROR(VLOOKUP(B273,'Guest Directory'!$A$5:$B$304,2,FALSE),""))</f>
        <v/>
      </c>
      <c r="D273" s="7" t="n"/>
    </row>
    <row r="274">
      <c r="A274" s="21">
        <f>IF(B274="","",ROW()-4)</f>
        <v/>
      </c>
      <c r="B274" s="7" t="n"/>
      <c r="C274" s="22">
        <f>IF(B274="","",IFERROR(VLOOKUP(B274,'Guest Directory'!$A$5:$B$304,2,FALSE),""))</f>
        <v/>
      </c>
      <c r="D274" s="7" t="n"/>
    </row>
    <row r="275">
      <c r="A275" s="21">
        <f>IF(B275="","",ROW()-4)</f>
        <v/>
      </c>
      <c r="B275" s="7" t="n"/>
      <c r="C275" s="22">
        <f>IF(B275="","",IFERROR(VLOOKUP(B275,'Guest Directory'!$A$5:$B$304,2,FALSE),""))</f>
        <v/>
      </c>
      <c r="D275" s="7" t="n"/>
    </row>
    <row r="276">
      <c r="A276" s="21">
        <f>IF(B276="","",ROW()-4)</f>
        <v/>
      </c>
      <c r="B276" s="7" t="n"/>
      <c r="C276" s="22">
        <f>IF(B276="","",IFERROR(VLOOKUP(B276,'Guest Directory'!$A$5:$B$304,2,FALSE),""))</f>
        <v/>
      </c>
      <c r="D276" s="7" t="n"/>
    </row>
    <row r="277">
      <c r="A277" s="21">
        <f>IF(B277="","",ROW()-4)</f>
        <v/>
      </c>
      <c r="B277" s="7" t="n"/>
      <c r="C277" s="22">
        <f>IF(B277="","",IFERROR(VLOOKUP(B277,'Guest Directory'!$A$5:$B$304,2,FALSE),""))</f>
        <v/>
      </c>
      <c r="D277" s="7" t="n"/>
    </row>
    <row r="278">
      <c r="A278" s="21">
        <f>IF(B278="","",ROW()-4)</f>
        <v/>
      </c>
      <c r="B278" s="7" t="n"/>
      <c r="C278" s="22">
        <f>IF(B278="","",IFERROR(VLOOKUP(B278,'Guest Directory'!$A$5:$B$304,2,FALSE),""))</f>
        <v/>
      </c>
      <c r="D278" s="7" t="n"/>
    </row>
    <row r="279">
      <c r="A279" s="21">
        <f>IF(B279="","",ROW()-4)</f>
        <v/>
      </c>
      <c r="B279" s="7" t="n"/>
      <c r="C279" s="22">
        <f>IF(B279="","",IFERROR(VLOOKUP(B279,'Guest Directory'!$A$5:$B$304,2,FALSE),""))</f>
        <v/>
      </c>
      <c r="D279" s="7" t="n"/>
    </row>
    <row r="280">
      <c r="A280" s="21">
        <f>IF(B280="","",ROW()-4)</f>
        <v/>
      </c>
      <c r="B280" s="7" t="n"/>
      <c r="C280" s="22">
        <f>IF(B280="","",IFERROR(VLOOKUP(B280,'Guest Directory'!$A$5:$B$304,2,FALSE),""))</f>
        <v/>
      </c>
      <c r="D280" s="7" t="n"/>
    </row>
    <row r="281">
      <c r="A281" s="21">
        <f>IF(B281="","",ROW()-4)</f>
        <v/>
      </c>
      <c r="B281" s="7" t="n"/>
      <c r="C281" s="22">
        <f>IF(B281="","",IFERROR(VLOOKUP(B281,'Guest Directory'!$A$5:$B$304,2,FALSE),""))</f>
        <v/>
      </c>
      <c r="D281" s="7" t="n"/>
    </row>
    <row r="282">
      <c r="A282" s="21">
        <f>IF(B282="","",ROW()-4)</f>
        <v/>
      </c>
      <c r="B282" s="7" t="n"/>
      <c r="C282" s="22">
        <f>IF(B282="","",IFERROR(VLOOKUP(B282,'Guest Directory'!$A$5:$B$304,2,FALSE),""))</f>
        <v/>
      </c>
      <c r="D282" s="7" t="n"/>
    </row>
    <row r="283">
      <c r="A283" s="21">
        <f>IF(B283="","",ROW()-4)</f>
        <v/>
      </c>
      <c r="B283" s="7" t="n"/>
      <c r="C283" s="22">
        <f>IF(B283="","",IFERROR(VLOOKUP(B283,'Guest Directory'!$A$5:$B$304,2,FALSE),""))</f>
        <v/>
      </c>
      <c r="D283" s="7" t="n"/>
    </row>
    <row r="284">
      <c r="A284" s="21">
        <f>IF(B284="","",ROW()-4)</f>
        <v/>
      </c>
      <c r="B284" s="7" t="n"/>
      <c r="C284" s="22">
        <f>IF(B284="","",IFERROR(VLOOKUP(B284,'Guest Directory'!$A$5:$B$304,2,FALSE),""))</f>
        <v/>
      </c>
      <c r="D284" s="7" t="n"/>
    </row>
    <row r="285">
      <c r="A285" s="21">
        <f>IF(B285="","",ROW()-4)</f>
        <v/>
      </c>
      <c r="B285" s="7" t="n"/>
      <c r="C285" s="22">
        <f>IF(B285="","",IFERROR(VLOOKUP(B285,'Guest Directory'!$A$5:$B$304,2,FALSE),""))</f>
        <v/>
      </c>
      <c r="D285" s="7" t="n"/>
    </row>
    <row r="286">
      <c r="A286" s="21">
        <f>IF(B286="","",ROW()-4)</f>
        <v/>
      </c>
      <c r="B286" s="7" t="n"/>
      <c r="C286" s="22">
        <f>IF(B286="","",IFERROR(VLOOKUP(B286,'Guest Directory'!$A$5:$B$304,2,FALSE),""))</f>
        <v/>
      </c>
      <c r="D286" s="7" t="n"/>
    </row>
    <row r="287">
      <c r="A287" s="21">
        <f>IF(B287="","",ROW()-4)</f>
        <v/>
      </c>
      <c r="B287" s="7" t="n"/>
      <c r="C287" s="22">
        <f>IF(B287="","",IFERROR(VLOOKUP(B287,'Guest Directory'!$A$5:$B$304,2,FALSE),""))</f>
        <v/>
      </c>
      <c r="D287" s="7" t="n"/>
    </row>
    <row r="288">
      <c r="A288" s="21">
        <f>IF(B288="","",ROW()-4)</f>
        <v/>
      </c>
      <c r="B288" s="7" t="n"/>
      <c r="C288" s="22">
        <f>IF(B288="","",IFERROR(VLOOKUP(B288,'Guest Directory'!$A$5:$B$304,2,FALSE),""))</f>
        <v/>
      </c>
      <c r="D288" s="7" t="n"/>
    </row>
    <row r="289">
      <c r="A289" s="21">
        <f>IF(B289="","",ROW()-4)</f>
        <v/>
      </c>
      <c r="B289" s="7" t="n"/>
      <c r="C289" s="22">
        <f>IF(B289="","",IFERROR(VLOOKUP(B289,'Guest Directory'!$A$5:$B$304,2,FALSE),""))</f>
        <v/>
      </c>
      <c r="D289" s="7" t="n"/>
    </row>
    <row r="290">
      <c r="A290" s="21">
        <f>IF(B290="","",ROW()-4)</f>
        <v/>
      </c>
      <c r="B290" s="7" t="n"/>
      <c r="C290" s="22">
        <f>IF(B290="","",IFERROR(VLOOKUP(B290,'Guest Directory'!$A$5:$B$304,2,FALSE),""))</f>
        <v/>
      </c>
      <c r="D290" s="7" t="n"/>
    </row>
    <row r="291">
      <c r="A291" s="21">
        <f>IF(B291="","",ROW()-4)</f>
        <v/>
      </c>
      <c r="B291" s="7" t="n"/>
      <c r="C291" s="22">
        <f>IF(B291="","",IFERROR(VLOOKUP(B291,'Guest Directory'!$A$5:$B$304,2,FALSE),""))</f>
        <v/>
      </c>
      <c r="D291" s="7" t="n"/>
    </row>
    <row r="292">
      <c r="A292" s="21">
        <f>IF(B292="","",ROW()-4)</f>
        <v/>
      </c>
      <c r="B292" s="7" t="n"/>
      <c r="C292" s="22">
        <f>IF(B292="","",IFERROR(VLOOKUP(B292,'Guest Directory'!$A$5:$B$304,2,FALSE),""))</f>
        <v/>
      </c>
      <c r="D292" s="7" t="n"/>
    </row>
    <row r="293">
      <c r="A293" s="21">
        <f>IF(B293="","",ROW()-4)</f>
        <v/>
      </c>
      <c r="B293" s="7" t="n"/>
      <c r="C293" s="22">
        <f>IF(B293="","",IFERROR(VLOOKUP(B293,'Guest Directory'!$A$5:$B$304,2,FALSE),""))</f>
        <v/>
      </c>
      <c r="D293" s="7" t="n"/>
    </row>
    <row r="294">
      <c r="A294" s="21">
        <f>IF(B294="","",ROW()-4)</f>
        <v/>
      </c>
      <c r="B294" s="7" t="n"/>
      <c r="C294" s="22">
        <f>IF(B294="","",IFERROR(VLOOKUP(B294,'Guest Directory'!$A$5:$B$304,2,FALSE),""))</f>
        <v/>
      </c>
      <c r="D294" s="7" t="n"/>
    </row>
    <row r="295">
      <c r="A295" s="21">
        <f>IF(B295="","",ROW()-4)</f>
        <v/>
      </c>
      <c r="B295" s="7" t="n"/>
      <c r="C295" s="22">
        <f>IF(B295="","",IFERROR(VLOOKUP(B295,'Guest Directory'!$A$5:$B$304,2,FALSE),""))</f>
        <v/>
      </c>
      <c r="D295" s="7" t="n"/>
    </row>
    <row r="296">
      <c r="A296" s="21">
        <f>IF(B296="","",ROW()-4)</f>
        <v/>
      </c>
      <c r="B296" s="7" t="n"/>
      <c r="C296" s="22">
        <f>IF(B296="","",IFERROR(VLOOKUP(B296,'Guest Directory'!$A$5:$B$304,2,FALSE),""))</f>
        <v/>
      </c>
      <c r="D296" s="7" t="n"/>
    </row>
    <row r="297">
      <c r="A297" s="21">
        <f>IF(B297="","",ROW()-4)</f>
        <v/>
      </c>
      <c r="B297" s="7" t="n"/>
      <c r="C297" s="22">
        <f>IF(B297="","",IFERROR(VLOOKUP(B297,'Guest Directory'!$A$5:$B$304,2,FALSE),""))</f>
        <v/>
      </c>
      <c r="D297" s="7" t="n"/>
    </row>
    <row r="298">
      <c r="A298" s="21">
        <f>IF(B298="","",ROW()-4)</f>
        <v/>
      </c>
      <c r="B298" s="7" t="n"/>
      <c r="C298" s="22">
        <f>IF(B298="","",IFERROR(VLOOKUP(B298,'Guest Directory'!$A$5:$B$304,2,FALSE),""))</f>
        <v/>
      </c>
      <c r="D298" s="7" t="n"/>
    </row>
    <row r="299">
      <c r="A299" s="21">
        <f>IF(B299="","",ROW()-4)</f>
        <v/>
      </c>
      <c r="B299" s="7" t="n"/>
      <c r="C299" s="22">
        <f>IF(B299="","",IFERROR(VLOOKUP(B299,'Guest Directory'!$A$5:$B$304,2,FALSE),""))</f>
        <v/>
      </c>
      <c r="D299" s="7" t="n"/>
    </row>
    <row r="300">
      <c r="A300" s="21">
        <f>IF(B300="","",ROW()-4)</f>
        <v/>
      </c>
      <c r="B300" s="7" t="n"/>
      <c r="C300" s="22">
        <f>IF(B300="","",IFERROR(VLOOKUP(B300,'Guest Directory'!$A$5:$B$304,2,FALSE),""))</f>
        <v/>
      </c>
      <c r="D300" s="7" t="n"/>
    </row>
    <row r="301">
      <c r="A301" s="21">
        <f>IF(B301="","",ROW()-4)</f>
        <v/>
      </c>
      <c r="B301" s="7" t="n"/>
      <c r="C301" s="22">
        <f>IF(B301="","",IFERROR(VLOOKUP(B301,'Guest Directory'!$A$5:$B$304,2,FALSE),""))</f>
        <v/>
      </c>
      <c r="D301" s="7" t="n"/>
    </row>
    <row r="302">
      <c r="A302" s="21">
        <f>IF(B302="","",ROW()-4)</f>
        <v/>
      </c>
      <c r="B302" s="7" t="n"/>
      <c r="C302" s="22">
        <f>IF(B302="","",IFERROR(VLOOKUP(B302,'Guest Directory'!$A$5:$B$304,2,FALSE),""))</f>
        <v/>
      </c>
      <c r="D302" s="7" t="n"/>
    </row>
    <row r="303">
      <c r="A303" s="21">
        <f>IF(B303="","",ROW()-4)</f>
        <v/>
      </c>
      <c r="B303" s="7" t="n"/>
      <c r="C303" s="22">
        <f>IF(B303="","",IFERROR(VLOOKUP(B303,'Guest Directory'!$A$5:$B$304,2,FALSE),""))</f>
        <v/>
      </c>
      <c r="D303" s="7" t="n"/>
    </row>
    <row r="304">
      <c r="A304" s="21">
        <f>IF(B304="","",ROW()-4)</f>
        <v/>
      </c>
      <c r="B304" s="7" t="n"/>
      <c r="C304" s="22">
        <f>IF(B304="","",IFERROR(VLOOKUP(B304,'Guest Directory'!$A$5:$B$304,2,FALSE),""))</f>
        <v/>
      </c>
      <c r="D304" s="7" t="n"/>
    </row>
  </sheetData>
  <conditionalFormatting sqref="C5:C304">
    <cfRule type="cellIs" priority="1" operator="lessThan" dxfId="0">
      <formula>0</formula>
    </cfRule>
  </conditionalFormatting>
  <dataValidations count="2">
    <dataValidation sqref="B5:B304" showDropDown="0" showInputMessage="1" showErrorMessage="0" allowBlank="1" promptTitle="Choose or type a guest" prompt="Choose a shared guest, or type a new name. Add new shared names to Guest Directory." type="list">
      <formula1>=GuestDirectoryNames</formula1>
    </dataValidation>
    <dataValidation sqref="C5:C304" showDropDown="0" showInputMessage="1" showErrorMessage="1" allowBlank="1" errorTitle="Whole numbers only" error="Use a whole number from 0 to 999." promptTitle="Enter a headcount" prompt="Enter a whole number from 0 to 999." type="whole" operator="between">
      <formula1>0</formula1>
      <formula2>999</formula2>
    </dataValidation>
  </dataValidations>
  <pageMargins left="0.75" right="0.75" top="1" bottom="1" header="0.5" footer="0.5"/>
  <pageSetup orientation="landscape" fitToWidth="1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tabColor rgb="0070AD47"/>
    <outlinePr summaryBelow="1" summaryRight="1"/>
    <pageSetUpPr fitToPage="1"/>
  </sheetPr>
  <dimension ref="A1:G304"/>
  <sheetViews>
    <sheetView zoomScale="9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38" customWidth="1" min="2" max="2"/>
    <col width="34" customWidth="1" min="3" max="3"/>
    <col width="32" customWidth="1" min="4" max="4"/>
    <col width="3" customWidth="1" min="5" max="5"/>
    <col width="26" customWidth="1" min="6" max="6"/>
    <col width="15" customWidth="1" min="7" max="7"/>
  </cols>
  <sheetData>
    <row r="1" ht="27" customHeight="1">
      <c r="A1" s="14" t="inlineStr">
        <is>
          <t>Paherwani Guest List</t>
        </is>
      </c>
    </row>
    <row r="2">
      <c r="A2" s="15" t="inlineStr">
        <is>
          <t>Pick an existing name from the dropdown or type a new name. The headcount fills from Guest Directory when available and remains editable.</t>
        </is>
      </c>
      <c r="F2" s="18" t="inlineStr">
        <is>
          <t>Guest entries</t>
        </is>
      </c>
      <c r="G2" s="19">
        <f>COUNTIF(B5:B304,"?*")</f>
        <v/>
      </c>
    </row>
    <row r="3">
      <c r="A3" s="16">
        <f>HYPERLINK("#Summary!A1","← Back to Summary")</f>
        <v/>
      </c>
      <c r="F3" s="18" t="inlineStr">
        <is>
          <t>Total guests</t>
        </is>
      </c>
      <c r="G3" s="19">
        <f>SUM(C5:C304)</f>
        <v/>
      </c>
    </row>
    <row r="4" ht="34" customHeight="1">
      <c r="A4" s="6" t="inlineStr">
        <is>
          <t>S.No</t>
        </is>
      </c>
      <c r="B4" s="6" t="inlineStr">
        <is>
          <t>Guest Name</t>
        </is>
      </c>
      <c r="C4" s="6" t="inlineStr">
        <is>
          <t>Family Members / Total People</t>
        </is>
      </c>
      <c r="D4" s="6" t="inlineStr">
        <is>
          <t>Notes</t>
        </is>
      </c>
      <c r="F4" s="20" t="inlineStr">
        <is>
          <t>Count each party exactly as you want it included in the total.</t>
        </is>
      </c>
    </row>
    <row r="5">
      <c r="A5" s="21">
        <f>IF(B5="","",ROW()-4)</f>
        <v/>
      </c>
      <c r="B5" s="7" t="n"/>
      <c r="C5" s="22">
        <f>IF(B5="","",IFERROR(VLOOKUP(B5,'Guest Directory'!$A$5:$B$304,2,FALSE),""))</f>
        <v/>
      </c>
      <c r="D5" s="7" t="n"/>
    </row>
    <row r="6">
      <c r="A6" s="21">
        <f>IF(B6="","",ROW()-4)</f>
        <v/>
      </c>
      <c r="B6" s="7" t="n"/>
      <c r="C6" s="22">
        <f>IF(B6="","",IFERROR(VLOOKUP(B6,'Guest Directory'!$A$5:$B$304,2,FALSE),""))</f>
        <v/>
      </c>
      <c r="D6" s="7" t="n"/>
    </row>
    <row r="7">
      <c r="A7" s="21">
        <f>IF(B7="","",ROW()-4)</f>
        <v/>
      </c>
      <c r="B7" s="7" t="n"/>
      <c r="C7" s="22">
        <f>IF(B7="","",IFERROR(VLOOKUP(B7,'Guest Directory'!$A$5:$B$304,2,FALSE),""))</f>
        <v/>
      </c>
      <c r="D7" s="7" t="n"/>
    </row>
    <row r="8">
      <c r="A8" s="21">
        <f>IF(B8="","",ROW()-4)</f>
        <v/>
      </c>
      <c r="B8" s="7" t="n"/>
      <c r="C8" s="22">
        <f>IF(B8="","",IFERROR(VLOOKUP(B8,'Guest Directory'!$A$5:$B$304,2,FALSE),""))</f>
        <v/>
      </c>
      <c r="D8" s="7" t="n"/>
    </row>
    <row r="9">
      <c r="A9" s="21">
        <f>IF(B9="","",ROW()-4)</f>
        <v/>
      </c>
      <c r="B9" s="7" t="n"/>
      <c r="C9" s="22">
        <f>IF(B9="","",IFERROR(VLOOKUP(B9,'Guest Directory'!$A$5:$B$304,2,FALSE),""))</f>
        <v/>
      </c>
      <c r="D9" s="7" t="n"/>
    </row>
    <row r="10">
      <c r="A10" s="21">
        <f>IF(B10="","",ROW()-4)</f>
        <v/>
      </c>
      <c r="B10" s="7" t="n"/>
      <c r="C10" s="22">
        <f>IF(B10="","",IFERROR(VLOOKUP(B10,'Guest Directory'!$A$5:$B$304,2,FALSE),""))</f>
        <v/>
      </c>
      <c r="D10" s="7" t="n"/>
    </row>
    <row r="11">
      <c r="A11" s="21">
        <f>IF(B11="","",ROW()-4)</f>
        <v/>
      </c>
      <c r="B11" s="7" t="n"/>
      <c r="C11" s="22">
        <f>IF(B11="","",IFERROR(VLOOKUP(B11,'Guest Directory'!$A$5:$B$304,2,FALSE),""))</f>
        <v/>
      </c>
      <c r="D11" s="7" t="n"/>
    </row>
    <row r="12">
      <c r="A12" s="21">
        <f>IF(B12="","",ROW()-4)</f>
        <v/>
      </c>
      <c r="B12" s="7" t="n"/>
      <c r="C12" s="22">
        <f>IF(B12="","",IFERROR(VLOOKUP(B12,'Guest Directory'!$A$5:$B$304,2,FALSE),""))</f>
        <v/>
      </c>
      <c r="D12" s="7" t="n"/>
    </row>
    <row r="13">
      <c r="A13" s="21">
        <f>IF(B13="","",ROW()-4)</f>
        <v/>
      </c>
      <c r="B13" s="7" t="n"/>
      <c r="C13" s="22">
        <f>IF(B13="","",IFERROR(VLOOKUP(B13,'Guest Directory'!$A$5:$B$304,2,FALSE),""))</f>
        <v/>
      </c>
      <c r="D13" s="7" t="n"/>
    </row>
    <row r="14">
      <c r="A14" s="21">
        <f>IF(B14="","",ROW()-4)</f>
        <v/>
      </c>
      <c r="B14" s="7" t="n"/>
      <c r="C14" s="22">
        <f>IF(B14="","",IFERROR(VLOOKUP(B14,'Guest Directory'!$A$5:$B$304,2,FALSE),""))</f>
        <v/>
      </c>
      <c r="D14" s="7" t="n"/>
    </row>
    <row r="15">
      <c r="A15" s="21">
        <f>IF(B15="","",ROW()-4)</f>
        <v/>
      </c>
      <c r="B15" s="7" t="n"/>
      <c r="C15" s="22">
        <f>IF(B15="","",IFERROR(VLOOKUP(B15,'Guest Directory'!$A$5:$B$304,2,FALSE),""))</f>
        <v/>
      </c>
      <c r="D15" s="7" t="n"/>
    </row>
    <row r="16">
      <c r="A16" s="21">
        <f>IF(B16="","",ROW()-4)</f>
        <v/>
      </c>
      <c r="B16" s="7" t="n"/>
      <c r="C16" s="22">
        <f>IF(B16="","",IFERROR(VLOOKUP(B16,'Guest Directory'!$A$5:$B$304,2,FALSE),""))</f>
        <v/>
      </c>
      <c r="D16" s="7" t="n"/>
    </row>
    <row r="17">
      <c r="A17" s="21">
        <f>IF(B17="","",ROW()-4)</f>
        <v/>
      </c>
      <c r="B17" s="7" t="n"/>
      <c r="C17" s="22">
        <f>IF(B17="","",IFERROR(VLOOKUP(B17,'Guest Directory'!$A$5:$B$304,2,FALSE),""))</f>
        <v/>
      </c>
      <c r="D17" s="7" t="n"/>
    </row>
    <row r="18">
      <c r="A18" s="21">
        <f>IF(B18="","",ROW()-4)</f>
        <v/>
      </c>
      <c r="B18" s="7" t="n"/>
      <c r="C18" s="22">
        <f>IF(B18="","",IFERROR(VLOOKUP(B18,'Guest Directory'!$A$5:$B$304,2,FALSE),""))</f>
        <v/>
      </c>
      <c r="D18" s="7" t="n"/>
    </row>
    <row r="19">
      <c r="A19" s="21">
        <f>IF(B19="","",ROW()-4)</f>
        <v/>
      </c>
      <c r="B19" s="7" t="n"/>
      <c r="C19" s="22">
        <f>IF(B19="","",IFERROR(VLOOKUP(B19,'Guest Directory'!$A$5:$B$304,2,FALSE),""))</f>
        <v/>
      </c>
      <c r="D19" s="7" t="n"/>
    </row>
    <row r="20">
      <c r="A20" s="21">
        <f>IF(B20="","",ROW()-4)</f>
        <v/>
      </c>
      <c r="B20" s="7" t="n"/>
      <c r="C20" s="22">
        <f>IF(B20="","",IFERROR(VLOOKUP(B20,'Guest Directory'!$A$5:$B$304,2,FALSE),""))</f>
        <v/>
      </c>
      <c r="D20" s="7" t="n"/>
    </row>
    <row r="21">
      <c r="A21" s="21">
        <f>IF(B21="","",ROW()-4)</f>
        <v/>
      </c>
      <c r="B21" s="7" t="n"/>
      <c r="C21" s="22">
        <f>IF(B21="","",IFERROR(VLOOKUP(B21,'Guest Directory'!$A$5:$B$304,2,FALSE),""))</f>
        <v/>
      </c>
      <c r="D21" s="7" t="n"/>
    </row>
    <row r="22">
      <c r="A22" s="21">
        <f>IF(B22="","",ROW()-4)</f>
        <v/>
      </c>
      <c r="B22" s="7" t="n"/>
      <c r="C22" s="22">
        <f>IF(B22="","",IFERROR(VLOOKUP(B22,'Guest Directory'!$A$5:$B$304,2,FALSE),""))</f>
        <v/>
      </c>
      <c r="D22" s="7" t="n"/>
    </row>
    <row r="23">
      <c r="A23" s="21">
        <f>IF(B23="","",ROW()-4)</f>
        <v/>
      </c>
      <c r="B23" s="7" t="n"/>
      <c r="C23" s="22">
        <f>IF(B23="","",IFERROR(VLOOKUP(B23,'Guest Directory'!$A$5:$B$304,2,FALSE),""))</f>
        <v/>
      </c>
      <c r="D23" s="7" t="n"/>
    </row>
    <row r="24">
      <c r="A24" s="21">
        <f>IF(B24="","",ROW()-4)</f>
        <v/>
      </c>
      <c r="B24" s="7" t="n"/>
      <c r="C24" s="22">
        <f>IF(B24="","",IFERROR(VLOOKUP(B24,'Guest Directory'!$A$5:$B$304,2,FALSE),""))</f>
        <v/>
      </c>
      <c r="D24" s="7" t="n"/>
    </row>
    <row r="25">
      <c r="A25" s="21">
        <f>IF(B25="","",ROW()-4)</f>
        <v/>
      </c>
      <c r="B25" s="7" t="n"/>
      <c r="C25" s="22">
        <f>IF(B25="","",IFERROR(VLOOKUP(B25,'Guest Directory'!$A$5:$B$304,2,FALSE),""))</f>
        <v/>
      </c>
      <c r="D25" s="7" t="n"/>
    </row>
    <row r="26">
      <c r="A26" s="21">
        <f>IF(B26="","",ROW()-4)</f>
        <v/>
      </c>
      <c r="B26" s="7" t="n"/>
      <c r="C26" s="22">
        <f>IF(B26="","",IFERROR(VLOOKUP(B26,'Guest Directory'!$A$5:$B$304,2,FALSE),""))</f>
        <v/>
      </c>
      <c r="D26" s="7" t="n"/>
    </row>
    <row r="27">
      <c r="A27" s="21">
        <f>IF(B27="","",ROW()-4)</f>
        <v/>
      </c>
      <c r="B27" s="7" t="n"/>
      <c r="C27" s="22">
        <f>IF(B27="","",IFERROR(VLOOKUP(B27,'Guest Directory'!$A$5:$B$304,2,FALSE),""))</f>
        <v/>
      </c>
      <c r="D27" s="7" t="n"/>
    </row>
    <row r="28">
      <c r="A28" s="21">
        <f>IF(B28="","",ROW()-4)</f>
        <v/>
      </c>
      <c r="B28" s="7" t="n"/>
      <c r="C28" s="22">
        <f>IF(B28="","",IFERROR(VLOOKUP(B28,'Guest Directory'!$A$5:$B$304,2,FALSE),""))</f>
        <v/>
      </c>
      <c r="D28" s="7" t="n"/>
    </row>
    <row r="29">
      <c r="A29" s="21">
        <f>IF(B29="","",ROW()-4)</f>
        <v/>
      </c>
      <c r="B29" s="7" t="n"/>
      <c r="C29" s="22">
        <f>IF(B29="","",IFERROR(VLOOKUP(B29,'Guest Directory'!$A$5:$B$304,2,FALSE),""))</f>
        <v/>
      </c>
      <c r="D29" s="7" t="n"/>
    </row>
    <row r="30">
      <c r="A30" s="21">
        <f>IF(B30="","",ROW()-4)</f>
        <v/>
      </c>
      <c r="B30" s="7" t="n"/>
      <c r="C30" s="22">
        <f>IF(B30="","",IFERROR(VLOOKUP(B30,'Guest Directory'!$A$5:$B$304,2,FALSE),""))</f>
        <v/>
      </c>
      <c r="D30" s="7" t="n"/>
    </row>
    <row r="31">
      <c r="A31" s="21">
        <f>IF(B31="","",ROW()-4)</f>
        <v/>
      </c>
      <c r="B31" s="7" t="n"/>
      <c r="C31" s="22">
        <f>IF(B31="","",IFERROR(VLOOKUP(B31,'Guest Directory'!$A$5:$B$304,2,FALSE),""))</f>
        <v/>
      </c>
      <c r="D31" s="7" t="n"/>
    </row>
    <row r="32">
      <c r="A32" s="21">
        <f>IF(B32="","",ROW()-4)</f>
        <v/>
      </c>
      <c r="B32" s="7" t="n"/>
      <c r="C32" s="22">
        <f>IF(B32="","",IFERROR(VLOOKUP(B32,'Guest Directory'!$A$5:$B$304,2,FALSE),""))</f>
        <v/>
      </c>
      <c r="D32" s="7" t="n"/>
    </row>
    <row r="33">
      <c r="A33" s="21">
        <f>IF(B33="","",ROW()-4)</f>
        <v/>
      </c>
      <c r="B33" s="7" t="n"/>
      <c r="C33" s="22">
        <f>IF(B33="","",IFERROR(VLOOKUP(B33,'Guest Directory'!$A$5:$B$304,2,FALSE),""))</f>
        <v/>
      </c>
      <c r="D33" s="7" t="n"/>
    </row>
    <row r="34">
      <c r="A34" s="21">
        <f>IF(B34="","",ROW()-4)</f>
        <v/>
      </c>
      <c r="B34" s="7" t="n"/>
      <c r="C34" s="22">
        <f>IF(B34="","",IFERROR(VLOOKUP(B34,'Guest Directory'!$A$5:$B$304,2,FALSE),""))</f>
        <v/>
      </c>
      <c r="D34" s="7" t="n"/>
    </row>
    <row r="35">
      <c r="A35" s="21">
        <f>IF(B35="","",ROW()-4)</f>
        <v/>
      </c>
      <c r="B35" s="7" t="n"/>
      <c r="C35" s="22">
        <f>IF(B35="","",IFERROR(VLOOKUP(B35,'Guest Directory'!$A$5:$B$304,2,FALSE),""))</f>
        <v/>
      </c>
      <c r="D35" s="7" t="n"/>
    </row>
    <row r="36">
      <c r="A36" s="21">
        <f>IF(B36="","",ROW()-4)</f>
        <v/>
      </c>
      <c r="B36" s="7" t="n"/>
      <c r="C36" s="22">
        <f>IF(B36="","",IFERROR(VLOOKUP(B36,'Guest Directory'!$A$5:$B$304,2,FALSE),""))</f>
        <v/>
      </c>
      <c r="D36" s="7" t="n"/>
    </row>
    <row r="37">
      <c r="A37" s="21">
        <f>IF(B37="","",ROW()-4)</f>
        <v/>
      </c>
      <c r="B37" s="7" t="n"/>
      <c r="C37" s="22">
        <f>IF(B37="","",IFERROR(VLOOKUP(B37,'Guest Directory'!$A$5:$B$304,2,FALSE),""))</f>
        <v/>
      </c>
      <c r="D37" s="7" t="n"/>
    </row>
    <row r="38">
      <c r="A38" s="21">
        <f>IF(B38="","",ROW()-4)</f>
        <v/>
      </c>
      <c r="B38" s="7" t="n"/>
      <c r="C38" s="22">
        <f>IF(B38="","",IFERROR(VLOOKUP(B38,'Guest Directory'!$A$5:$B$304,2,FALSE),""))</f>
        <v/>
      </c>
      <c r="D38" s="7" t="n"/>
    </row>
    <row r="39">
      <c r="A39" s="21">
        <f>IF(B39="","",ROW()-4)</f>
        <v/>
      </c>
      <c r="B39" s="7" t="n"/>
      <c r="C39" s="22">
        <f>IF(B39="","",IFERROR(VLOOKUP(B39,'Guest Directory'!$A$5:$B$304,2,FALSE),""))</f>
        <v/>
      </c>
      <c r="D39" s="7" t="n"/>
    </row>
    <row r="40">
      <c r="A40" s="21">
        <f>IF(B40="","",ROW()-4)</f>
        <v/>
      </c>
      <c r="B40" s="7" t="n"/>
      <c r="C40" s="22">
        <f>IF(B40="","",IFERROR(VLOOKUP(B40,'Guest Directory'!$A$5:$B$304,2,FALSE),""))</f>
        <v/>
      </c>
      <c r="D40" s="7" t="n"/>
    </row>
    <row r="41">
      <c r="A41" s="21">
        <f>IF(B41="","",ROW()-4)</f>
        <v/>
      </c>
      <c r="B41" s="7" t="n"/>
      <c r="C41" s="22">
        <f>IF(B41="","",IFERROR(VLOOKUP(B41,'Guest Directory'!$A$5:$B$304,2,FALSE),""))</f>
        <v/>
      </c>
      <c r="D41" s="7" t="n"/>
    </row>
    <row r="42">
      <c r="A42" s="21">
        <f>IF(B42="","",ROW()-4)</f>
        <v/>
      </c>
      <c r="B42" s="7" t="n"/>
      <c r="C42" s="22">
        <f>IF(B42="","",IFERROR(VLOOKUP(B42,'Guest Directory'!$A$5:$B$304,2,FALSE),""))</f>
        <v/>
      </c>
      <c r="D42" s="7" t="n"/>
    </row>
    <row r="43">
      <c r="A43" s="21">
        <f>IF(B43="","",ROW()-4)</f>
        <v/>
      </c>
      <c r="B43" s="7" t="n"/>
      <c r="C43" s="22">
        <f>IF(B43="","",IFERROR(VLOOKUP(B43,'Guest Directory'!$A$5:$B$304,2,FALSE),""))</f>
        <v/>
      </c>
      <c r="D43" s="7" t="n"/>
    </row>
    <row r="44">
      <c r="A44" s="21">
        <f>IF(B44="","",ROW()-4)</f>
        <v/>
      </c>
      <c r="B44" s="7" t="n"/>
      <c r="C44" s="22">
        <f>IF(B44="","",IFERROR(VLOOKUP(B44,'Guest Directory'!$A$5:$B$304,2,FALSE),""))</f>
        <v/>
      </c>
      <c r="D44" s="7" t="n"/>
    </row>
    <row r="45">
      <c r="A45" s="21">
        <f>IF(B45="","",ROW()-4)</f>
        <v/>
      </c>
      <c r="B45" s="7" t="n"/>
      <c r="C45" s="22">
        <f>IF(B45="","",IFERROR(VLOOKUP(B45,'Guest Directory'!$A$5:$B$304,2,FALSE),""))</f>
        <v/>
      </c>
      <c r="D45" s="7" t="n"/>
    </row>
    <row r="46">
      <c r="A46" s="21">
        <f>IF(B46="","",ROW()-4)</f>
        <v/>
      </c>
      <c r="B46" s="7" t="n"/>
      <c r="C46" s="22">
        <f>IF(B46="","",IFERROR(VLOOKUP(B46,'Guest Directory'!$A$5:$B$304,2,FALSE),""))</f>
        <v/>
      </c>
      <c r="D46" s="7" t="n"/>
    </row>
    <row r="47">
      <c r="A47" s="21">
        <f>IF(B47="","",ROW()-4)</f>
        <v/>
      </c>
      <c r="B47" s="7" t="n"/>
      <c r="C47" s="22">
        <f>IF(B47="","",IFERROR(VLOOKUP(B47,'Guest Directory'!$A$5:$B$304,2,FALSE),""))</f>
        <v/>
      </c>
      <c r="D47" s="7" t="n"/>
    </row>
    <row r="48">
      <c r="A48" s="21">
        <f>IF(B48="","",ROW()-4)</f>
        <v/>
      </c>
      <c r="B48" s="7" t="n"/>
      <c r="C48" s="22">
        <f>IF(B48="","",IFERROR(VLOOKUP(B48,'Guest Directory'!$A$5:$B$304,2,FALSE),""))</f>
        <v/>
      </c>
      <c r="D48" s="7" t="n"/>
    </row>
    <row r="49">
      <c r="A49" s="21">
        <f>IF(B49="","",ROW()-4)</f>
        <v/>
      </c>
      <c r="B49" s="7" t="n"/>
      <c r="C49" s="22">
        <f>IF(B49="","",IFERROR(VLOOKUP(B49,'Guest Directory'!$A$5:$B$304,2,FALSE),""))</f>
        <v/>
      </c>
      <c r="D49" s="7" t="n"/>
    </row>
    <row r="50">
      <c r="A50" s="21">
        <f>IF(B50="","",ROW()-4)</f>
        <v/>
      </c>
      <c r="B50" s="7" t="n"/>
      <c r="C50" s="22">
        <f>IF(B50="","",IFERROR(VLOOKUP(B50,'Guest Directory'!$A$5:$B$304,2,FALSE),""))</f>
        <v/>
      </c>
      <c r="D50" s="7" t="n"/>
    </row>
    <row r="51">
      <c r="A51" s="21">
        <f>IF(B51="","",ROW()-4)</f>
        <v/>
      </c>
      <c r="B51" s="7" t="n"/>
      <c r="C51" s="22">
        <f>IF(B51="","",IFERROR(VLOOKUP(B51,'Guest Directory'!$A$5:$B$304,2,FALSE),""))</f>
        <v/>
      </c>
      <c r="D51" s="7" t="n"/>
    </row>
    <row r="52">
      <c r="A52" s="21">
        <f>IF(B52="","",ROW()-4)</f>
        <v/>
      </c>
      <c r="B52" s="7" t="n"/>
      <c r="C52" s="22">
        <f>IF(B52="","",IFERROR(VLOOKUP(B52,'Guest Directory'!$A$5:$B$304,2,FALSE),""))</f>
        <v/>
      </c>
      <c r="D52" s="7" t="n"/>
    </row>
    <row r="53">
      <c r="A53" s="21">
        <f>IF(B53="","",ROW()-4)</f>
        <v/>
      </c>
      <c r="B53" s="7" t="n"/>
      <c r="C53" s="22">
        <f>IF(B53="","",IFERROR(VLOOKUP(B53,'Guest Directory'!$A$5:$B$304,2,FALSE),""))</f>
        <v/>
      </c>
      <c r="D53" s="7" t="n"/>
    </row>
    <row r="54">
      <c r="A54" s="21">
        <f>IF(B54="","",ROW()-4)</f>
        <v/>
      </c>
      <c r="B54" s="7" t="n"/>
      <c r="C54" s="22">
        <f>IF(B54="","",IFERROR(VLOOKUP(B54,'Guest Directory'!$A$5:$B$304,2,FALSE),""))</f>
        <v/>
      </c>
      <c r="D54" s="7" t="n"/>
    </row>
    <row r="55">
      <c r="A55" s="21">
        <f>IF(B55="","",ROW()-4)</f>
        <v/>
      </c>
      <c r="B55" s="7" t="n"/>
      <c r="C55" s="22">
        <f>IF(B55="","",IFERROR(VLOOKUP(B55,'Guest Directory'!$A$5:$B$304,2,FALSE),""))</f>
        <v/>
      </c>
      <c r="D55" s="7" t="n"/>
    </row>
    <row r="56">
      <c r="A56" s="21">
        <f>IF(B56="","",ROW()-4)</f>
        <v/>
      </c>
      <c r="B56" s="7" t="n"/>
      <c r="C56" s="22">
        <f>IF(B56="","",IFERROR(VLOOKUP(B56,'Guest Directory'!$A$5:$B$304,2,FALSE),""))</f>
        <v/>
      </c>
      <c r="D56" s="7" t="n"/>
    </row>
    <row r="57">
      <c r="A57" s="21">
        <f>IF(B57="","",ROW()-4)</f>
        <v/>
      </c>
      <c r="B57" s="7" t="n"/>
      <c r="C57" s="22">
        <f>IF(B57="","",IFERROR(VLOOKUP(B57,'Guest Directory'!$A$5:$B$304,2,FALSE),""))</f>
        <v/>
      </c>
      <c r="D57" s="7" t="n"/>
    </row>
    <row r="58">
      <c r="A58" s="21">
        <f>IF(B58="","",ROW()-4)</f>
        <v/>
      </c>
      <c r="B58" s="7" t="n"/>
      <c r="C58" s="22">
        <f>IF(B58="","",IFERROR(VLOOKUP(B58,'Guest Directory'!$A$5:$B$304,2,FALSE),""))</f>
        <v/>
      </c>
      <c r="D58" s="7" t="n"/>
    </row>
    <row r="59">
      <c r="A59" s="21">
        <f>IF(B59="","",ROW()-4)</f>
        <v/>
      </c>
      <c r="B59" s="7" t="n"/>
      <c r="C59" s="22">
        <f>IF(B59="","",IFERROR(VLOOKUP(B59,'Guest Directory'!$A$5:$B$304,2,FALSE),""))</f>
        <v/>
      </c>
      <c r="D59" s="7" t="n"/>
    </row>
    <row r="60">
      <c r="A60" s="21">
        <f>IF(B60="","",ROW()-4)</f>
        <v/>
      </c>
      <c r="B60" s="7" t="n"/>
      <c r="C60" s="22">
        <f>IF(B60="","",IFERROR(VLOOKUP(B60,'Guest Directory'!$A$5:$B$304,2,FALSE),""))</f>
        <v/>
      </c>
      <c r="D60" s="7" t="n"/>
    </row>
    <row r="61">
      <c r="A61" s="21">
        <f>IF(B61="","",ROW()-4)</f>
        <v/>
      </c>
      <c r="B61" s="7" t="n"/>
      <c r="C61" s="22">
        <f>IF(B61="","",IFERROR(VLOOKUP(B61,'Guest Directory'!$A$5:$B$304,2,FALSE),""))</f>
        <v/>
      </c>
      <c r="D61" s="7" t="n"/>
    </row>
    <row r="62">
      <c r="A62" s="21">
        <f>IF(B62="","",ROW()-4)</f>
        <v/>
      </c>
      <c r="B62" s="7" t="n"/>
      <c r="C62" s="22">
        <f>IF(B62="","",IFERROR(VLOOKUP(B62,'Guest Directory'!$A$5:$B$304,2,FALSE),""))</f>
        <v/>
      </c>
      <c r="D62" s="7" t="n"/>
    </row>
    <row r="63">
      <c r="A63" s="21">
        <f>IF(B63="","",ROW()-4)</f>
        <v/>
      </c>
      <c r="B63" s="7" t="n"/>
      <c r="C63" s="22">
        <f>IF(B63="","",IFERROR(VLOOKUP(B63,'Guest Directory'!$A$5:$B$304,2,FALSE),""))</f>
        <v/>
      </c>
      <c r="D63" s="7" t="n"/>
    </row>
    <row r="64">
      <c r="A64" s="21">
        <f>IF(B64="","",ROW()-4)</f>
        <v/>
      </c>
      <c r="B64" s="7" t="n"/>
      <c r="C64" s="22">
        <f>IF(B64="","",IFERROR(VLOOKUP(B64,'Guest Directory'!$A$5:$B$304,2,FALSE),""))</f>
        <v/>
      </c>
      <c r="D64" s="7" t="n"/>
    </row>
    <row r="65">
      <c r="A65" s="21">
        <f>IF(B65="","",ROW()-4)</f>
        <v/>
      </c>
      <c r="B65" s="7" t="n"/>
      <c r="C65" s="22">
        <f>IF(B65="","",IFERROR(VLOOKUP(B65,'Guest Directory'!$A$5:$B$304,2,FALSE),""))</f>
        <v/>
      </c>
      <c r="D65" s="7" t="n"/>
    </row>
    <row r="66">
      <c r="A66" s="21">
        <f>IF(B66="","",ROW()-4)</f>
        <v/>
      </c>
      <c r="B66" s="7" t="n"/>
      <c r="C66" s="22">
        <f>IF(B66="","",IFERROR(VLOOKUP(B66,'Guest Directory'!$A$5:$B$304,2,FALSE),""))</f>
        <v/>
      </c>
      <c r="D66" s="7" t="n"/>
    </row>
    <row r="67">
      <c r="A67" s="21">
        <f>IF(B67="","",ROW()-4)</f>
        <v/>
      </c>
      <c r="B67" s="7" t="n"/>
      <c r="C67" s="22">
        <f>IF(B67="","",IFERROR(VLOOKUP(B67,'Guest Directory'!$A$5:$B$304,2,FALSE),""))</f>
        <v/>
      </c>
      <c r="D67" s="7" t="n"/>
    </row>
    <row r="68">
      <c r="A68" s="21">
        <f>IF(B68="","",ROW()-4)</f>
        <v/>
      </c>
      <c r="B68" s="7" t="n"/>
      <c r="C68" s="22">
        <f>IF(B68="","",IFERROR(VLOOKUP(B68,'Guest Directory'!$A$5:$B$304,2,FALSE),""))</f>
        <v/>
      </c>
      <c r="D68" s="7" t="n"/>
    </row>
    <row r="69">
      <c r="A69" s="21">
        <f>IF(B69="","",ROW()-4)</f>
        <v/>
      </c>
      <c r="B69" s="7" t="n"/>
      <c r="C69" s="22">
        <f>IF(B69="","",IFERROR(VLOOKUP(B69,'Guest Directory'!$A$5:$B$304,2,FALSE),""))</f>
        <v/>
      </c>
      <c r="D69" s="7" t="n"/>
    </row>
    <row r="70">
      <c r="A70" s="21">
        <f>IF(B70="","",ROW()-4)</f>
        <v/>
      </c>
      <c r="B70" s="7" t="n"/>
      <c r="C70" s="22">
        <f>IF(B70="","",IFERROR(VLOOKUP(B70,'Guest Directory'!$A$5:$B$304,2,FALSE),""))</f>
        <v/>
      </c>
      <c r="D70" s="7" t="n"/>
    </row>
    <row r="71">
      <c r="A71" s="21">
        <f>IF(B71="","",ROW()-4)</f>
        <v/>
      </c>
      <c r="B71" s="7" t="n"/>
      <c r="C71" s="22">
        <f>IF(B71="","",IFERROR(VLOOKUP(B71,'Guest Directory'!$A$5:$B$304,2,FALSE),""))</f>
        <v/>
      </c>
      <c r="D71" s="7" t="n"/>
    </row>
    <row r="72">
      <c r="A72" s="21">
        <f>IF(B72="","",ROW()-4)</f>
        <v/>
      </c>
      <c r="B72" s="7" t="n"/>
      <c r="C72" s="22">
        <f>IF(B72="","",IFERROR(VLOOKUP(B72,'Guest Directory'!$A$5:$B$304,2,FALSE),""))</f>
        <v/>
      </c>
      <c r="D72" s="7" t="n"/>
    </row>
    <row r="73">
      <c r="A73" s="21">
        <f>IF(B73="","",ROW()-4)</f>
        <v/>
      </c>
      <c r="B73" s="7" t="n"/>
      <c r="C73" s="22">
        <f>IF(B73="","",IFERROR(VLOOKUP(B73,'Guest Directory'!$A$5:$B$304,2,FALSE),""))</f>
        <v/>
      </c>
      <c r="D73" s="7" t="n"/>
    </row>
    <row r="74">
      <c r="A74" s="21">
        <f>IF(B74="","",ROW()-4)</f>
        <v/>
      </c>
      <c r="B74" s="7" t="n"/>
      <c r="C74" s="22">
        <f>IF(B74="","",IFERROR(VLOOKUP(B74,'Guest Directory'!$A$5:$B$304,2,FALSE),""))</f>
        <v/>
      </c>
      <c r="D74" s="7" t="n"/>
    </row>
    <row r="75">
      <c r="A75" s="21">
        <f>IF(B75="","",ROW()-4)</f>
        <v/>
      </c>
      <c r="B75" s="7" t="n"/>
      <c r="C75" s="22">
        <f>IF(B75="","",IFERROR(VLOOKUP(B75,'Guest Directory'!$A$5:$B$304,2,FALSE),""))</f>
        <v/>
      </c>
      <c r="D75" s="7" t="n"/>
    </row>
    <row r="76">
      <c r="A76" s="21">
        <f>IF(B76="","",ROW()-4)</f>
        <v/>
      </c>
      <c r="B76" s="7" t="n"/>
      <c r="C76" s="22">
        <f>IF(B76="","",IFERROR(VLOOKUP(B76,'Guest Directory'!$A$5:$B$304,2,FALSE),""))</f>
        <v/>
      </c>
      <c r="D76" s="7" t="n"/>
    </row>
    <row r="77">
      <c r="A77" s="21">
        <f>IF(B77="","",ROW()-4)</f>
        <v/>
      </c>
      <c r="B77" s="7" t="n"/>
      <c r="C77" s="22">
        <f>IF(B77="","",IFERROR(VLOOKUP(B77,'Guest Directory'!$A$5:$B$304,2,FALSE),""))</f>
        <v/>
      </c>
      <c r="D77" s="7" t="n"/>
    </row>
    <row r="78">
      <c r="A78" s="21">
        <f>IF(B78="","",ROW()-4)</f>
        <v/>
      </c>
      <c r="B78" s="7" t="n"/>
      <c r="C78" s="22">
        <f>IF(B78="","",IFERROR(VLOOKUP(B78,'Guest Directory'!$A$5:$B$304,2,FALSE),""))</f>
        <v/>
      </c>
      <c r="D78" s="7" t="n"/>
    </row>
    <row r="79">
      <c r="A79" s="21">
        <f>IF(B79="","",ROW()-4)</f>
        <v/>
      </c>
      <c r="B79" s="7" t="n"/>
      <c r="C79" s="22">
        <f>IF(B79="","",IFERROR(VLOOKUP(B79,'Guest Directory'!$A$5:$B$304,2,FALSE),""))</f>
        <v/>
      </c>
      <c r="D79" s="7" t="n"/>
    </row>
    <row r="80">
      <c r="A80" s="21">
        <f>IF(B80="","",ROW()-4)</f>
        <v/>
      </c>
      <c r="B80" s="7" t="n"/>
      <c r="C80" s="22">
        <f>IF(B80="","",IFERROR(VLOOKUP(B80,'Guest Directory'!$A$5:$B$304,2,FALSE),""))</f>
        <v/>
      </c>
      <c r="D80" s="7" t="n"/>
    </row>
    <row r="81">
      <c r="A81" s="21">
        <f>IF(B81="","",ROW()-4)</f>
        <v/>
      </c>
      <c r="B81" s="7" t="n"/>
      <c r="C81" s="22">
        <f>IF(B81="","",IFERROR(VLOOKUP(B81,'Guest Directory'!$A$5:$B$304,2,FALSE),""))</f>
        <v/>
      </c>
      <c r="D81" s="7" t="n"/>
    </row>
    <row r="82">
      <c r="A82" s="21">
        <f>IF(B82="","",ROW()-4)</f>
        <v/>
      </c>
      <c r="B82" s="7" t="n"/>
      <c r="C82" s="22">
        <f>IF(B82="","",IFERROR(VLOOKUP(B82,'Guest Directory'!$A$5:$B$304,2,FALSE),""))</f>
        <v/>
      </c>
      <c r="D82" s="7" t="n"/>
    </row>
    <row r="83">
      <c r="A83" s="21">
        <f>IF(B83="","",ROW()-4)</f>
        <v/>
      </c>
      <c r="B83" s="7" t="n"/>
      <c r="C83" s="22">
        <f>IF(B83="","",IFERROR(VLOOKUP(B83,'Guest Directory'!$A$5:$B$304,2,FALSE),""))</f>
        <v/>
      </c>
      <c r="D83" s="7" t="n"/>
    </row>
    <row r="84">
      <c r="A84" s="21">
        <f>IF(B84="","",ROW()-4)</f>
        <v/>
      </c>
      <c r="B84" s="7" t="n"/>
      <c r="C84" s="22">
        <f>IF(B84="","",IFERROR(VLOOKUP(B84,'Guest Directory'!$A$5:$B$304,2,FALSE),""))</f>
        <v/>
      </c>
      <c r="D84" s="7" t="n"/>
    </row>
    <row r="85">
      <c r="A85" s="21">
        <f>IF(B85="","",ROW()-4)</f>
        <v/>
      </c>
      <c r="B85" s="7" t="n"/>
      <c r="C85" s="22">
        <f>IF(B85="","",IFERROR(VLOOKUP(B85,'Guest Directory'!$A$5:$B$304,2,FALSE),""))</f>
        <v/>
      </c>
      <c r="D85" s="7" t="n"/>
    </row>
    <row r="86">
      <c r="A86" s="21">
        <f>IF(B86="","",ROW()-4)</f>
        <v/>
      </c>
      <c r="B86" s="7" t="n"/>
      <c r="C86" s="22">
        <f>IF(B86="","",IFERROR(VLOOKUP(B86,'Guest Directory'!$A$5:$B$304,2,FALSE),""))</f>
        <v/>
      </c>
      <c r="D86" s="7" t="n"/>
    </row>
    <row r="87">
      <c r="A87" s="21">
        <f>IF(B87="","",ROW()-4)</f>
        <v/>
      </c>
      <c r="B87" s="7" t="n"/>
      <c r="C87" s="22">
        <f>IF(B87="","",IFERROR(VLOOKUP(B87,'Guest Directory'!$A$5:$B$304,2,FALSE),""))</f>
        <v/>
      </c>
      <c r="D87" s="7" t="n"/>
    </row>
    <row r="88">
      <c r="A88" s="21">
        <f>IF(B88="","",ROW()-4)</f>
        <v/>
      </c>
      <c r="B88" s="7" t="n"/>
      <c r="C88" s="22">
        <f>IF(B88="","",IFERROR(VLOOKUP(B88,'Guest Directory'!$A$5:$B$304,2,FALSE),""))</f>
        <v/>
      </c>
      <c r="D88" s="7" t="n"/>
    </row>
    <row r="89">
      <c r="A89" s="21">
        <f>IF(B89="","",ROW()-4)</f>
        <v/>
      </c>
      <c r="B89" s="7" t="n"/>
      <c r="C89" s="22">
        <f>IF(B89="","",IFERROR(VLOOKUP(B89,'Guest Directory'!$A$5:$B$304,2,FALSE),""))</f>
        <v/>
      </c>
      <c r="D89" s="7" t="n"/>
    </row>
    <row r="90">
      <c r="A90" s="21">
        <f>IF(B90="","",ROW()-4)</f>
        <v/>
      </c>
      <c r="B90" s="7" t="n"/>
      <c r="C90" s="22">
        <f>IF(B90="","",IFERROR(VLOOKUP(B90,'Guest Directory'!$A$5:$B$304,2,FALSE),""))</f>
        <v/>
      </c>
      <c r="D90" s="7" t="n"/>
    </row>
    <row r="91">
      <c r="A91" s="21">
        <f>IF(B91="","",ROW()-4)</f>
        <v/>
      </c>
      <c r="B91" s="7" t="n"/>
      <c r="C91" s="22">
        <f>IF(B91="","",IFERROR(VLOOKUP(B91,'Guest Directory'!$A$5:$B$304,2,FALSE),""))</f>
        <v/>
      </c>
      <c r="D91" s="7" t="n"/>
    </row>
    <row r="92">
      <c r="A92" s="21">
        <f>IF(B92="","",ROW()-4)</f>
        <v/>
      </c>
      <c r="B92" s="7" t="n"/>
      <c r="C92" s="22">
        <f>IF(B92="","",IFERROR(VLOOKUP(B92,'Guest Directory'!$A$5:$B$304,2,FALSE),""))</f>
        <v/>
      </c>
      <c r="D92" s="7" t="n"/>
    </row>
    <row r="93">
      <c r="A93" s="21">
        <f>IF(B93="","",ROW()-4)</f>
        <v/>
      </c>
      <c r="B93" s="7" t="n"/>
      <c r="C93" s="22">
        <f>IF(B93="","",IFERROR(VLOOKUP(B93,'Guest Directory'!$A$5:$B$304,2,FALSE),""))</f>
        <v/>
      </c>
      <c r="D93" s="7" t="n"/>
    </row>
    <row r="94">
      <c r="A94" s="21">
        <f>IF(B94="","",ROW()-4)</f>
        <v/>
      </c>
      <c r="B94" s="7" t="n"/>
      <c r="C94" s="22">
        <f>IF(B94="","",IFERROR(VLOOKUP(B94,'Guest Directory'!$A$5:$B$304,2,FALSE),""))</f>
        <v/>
      </c>
      <c r="D94" s="7" t="n"/>
    </row>
    <row r="95">
      <c r="A95" s="21">
        <f>IF(B95="","",ROW()-4)</f>
        <v/>
      </c>
      <c r="B95" s="7" t="n"/>
      <c r="C95" s="22">
        <f>IF(B95="","",IFERROR(VLOOKUP(B95,'Guest Directory'!$A$5:$B$304,2,FALSE),""))</f>
        <v/>
      </c>
      <c r="D95" s="7" t="n"/>
    </row>
    <row r="96">
      <c r="A96" s="21">
        <f>IF(B96="","",ROW()-4)</f>
        <v/>
      </c>
      <c r="B96" s="7" t="n"/>
      <c r="C96" s="22">
        <f>IF(B96="","",IFERROR(VLOOKUP(B96,'Guest Directory'!$A$5:$B$304,2,FALSE),""))</f>
        <v/>
      </c>
      <c r="D96" s="7" t="n"/>
    </row>
    <row r="97">
      <c r="A97" s="21">
        <f>IF(B97="","",ROW()-4)</f>
        <v/>
      </c>
      <c r="B97" s="7" t="n"/>
      <c r="C97" s="22">
        <f>IF(B97="","",IFERROR(VLOOKUP(B97,'Guest Directory'!$A$5:$B$304,2,FALSE),""))</f>
        <v/>
      </c>
      <c r="D97" s="7" t="n"/>
    </row>
    <row r="98">
      <c r="A98" s="21">
        <f>IF(B98="","",ROW()-4)</f>
        <v/>
      </c>
      <c r="B98" s="7" t="n"/>
      <c r="C98" s="22">
        <f>IF(B98="","",IFERROR(VLOOKUP(B98,'Guest Directory'!$A$5:$B$304,2,FALSE),""))</f>
        <v/>
      </c>
      <c r="D98" s="7" t="n"/>
    </row>
    <row r="99">
      <c r="A99" s="21">
        <f>IF(B99="","",ROW()-4)</f>
        <v/>
      </c>
      <c r="B99" s="7" t="n"/>
      <c r="C99" s="22">
        <f>IF(B99="","",IFERROR(VLOOKUP(B99,'Guest Directory'!$A$5:$B$304,2,FALSE),""))</f>
        <v/>
      </c>
      <c r="D99" s="7" t="n"/>
    </row>
    <row r="100">
      <c r="A100" s="21">
        <f>IF(B100="","",ROW()-4)</f>
        <v/>
      </c>
      <c r="B100" s="7" t="n"/>
      <c r="C100" s="22">
        <f>IF(B100="","",IFERROR(VLOOKUP(B100,'Guest Directory'!$A$5:$B$304,2,FALSE),""))</f>
        <v/>
      </c>
      <c r="D100" s="7" t="n"/>
    </row>
    <row r="101">
      <c r="A101" s="21">
        <f>IF(B101="","",ROW()-4)</f>
        <v/>
      </c>
      <c r="B101" s="7" t="n"/>
      <c r="C101" s="22">
        <f>IF(B101="","",IFERROR(VLOOKUP(B101,'Guest Directory'!$A$5:$B$304,2,FALSE),""))</f>
        <v/>
      </c>
      <c r="D101" s="7" t="n"/>
    </row>
    <row r="102">
      <c r="A102" s="21">
        <f>IF(B102="","",ROW()-4)</f>
        <v/>
      </c>
      <c r="B102" s="7" t="n"/>
      <c r="C102" s="22">
        <f>IF(B102="","",IFERROR(VLOOKUP(B102,'Guest Directory'!$A$5:$B$304,2,FALSE),""))</f>
        <v/>
      </c>
      <c r="D102" s="7" t="n"/>
    </row>
    <row r="103">
      <c r="A103" s="21">
        <f>IF(B103="","",ROW()-4)</f>
        <v/>
      </c>
      <c r="B103" s="7" t="n"/>
      <c r="C103" s="22">
        <f>IF(B103="","",IFERROR(VLOOKUP(B103,'Guest Directory'!$A$5:$B$304,2,FALSE),""))</f>
        <v/>
      </c>
      <c r="D103" s="7" t="n"/>
    </row>
    <row r="104">
      <c r="A104" s="21">
        <f>IF(B104="","",ROW()-4)</f>
        <v/>
      </c>
      <c r="B104" s="7" t="n"/>
      <c r="C104" s="22">
        <f>IF(B104="","",IFERROR(VLOOKUP(B104,'Guest Directory'!$A$5:$B$304,2,FALSE),""))</f>
        <v/>
      </c>
      <c r="D104" s="7" t="n"/>
    </row>
    <row r="105">
      <c r="A105" s="21">
        <f>IF(B105="","",ROW()-4)</f>
        <v/>
      </c>
      <c r="B105" s="7" t="n"/>
      <c r="C105" s="22">
        <f>IF(B105="","",IFERROR(VLOOKUP(B105,'Guest Directory'!$A$5:$B$304,2,FALSE),""))</f>
        <v/>
      </c>
      <c r="D105" s="7" t="n"/>
    </row>
    <row r="106">
      <c r="A106" s="21">
        <f>IF(B106="","",ROW()-4)</f>
        <v/>
      </c>
      <c r="B106" s="7" t="n"/>
      <c r="C106" s="22">
        <f>IF(B106="","",IFERROR(VLOOKUP(B106,'Guest Directory'!$A$5:$B$304,2,FALSE),""))</f>
        <v/>
      </c>
      <c r="D106" s="7" t="n"/>
    </row>
    <row r="107">
      <c r="A107" s="21">
        <f>IF(B107="","",ROW()-4)</f>
        <v/>
      </c>
      <c r="B107" s="7" t="n"/>
      <c r="C107" s="22">
        <f>IF(B107="","",IFERROR(VLOOKUP(B107,'Guest Directory'!$A$5:$B$304,2,FALSE),""))</f>
        <v/>
      </c>
      <c r="D107" s="7" t="n"/>
    </row>
    <row r="108">
      <c r="A108" s="21">
        <f>IF(B108="","",ROW()-4)</f>
        <v/>
      </c>
      <c r="B108" s="7" t="n"/>
      <c r="C108" s="22">
        <f>IF(B108="","",IFERROR(VLOOKUP(B108,'Guest Directory'!$A$5:$B$304,2,FALSE),""))</f>
        <v/>
      </c>
      <c r="D108" s="7" t="n"/>
    </row>
    <row r="109">
      <c r="A109" s="21">
        <f>IF(B109="","",ROW()-4)</f>
        <v/>
      </c>
      <c r="B109" s="7" t="n"/>
      <c r="C109" s="22">
        <f>IF(B109="","",IFERROR(VLOOKUP(B109,'Guest Directory'!$A$5:$B$304,2,FALSE),""))</f>
        <v/>
      </c>
      <c r="D109" s="7" t="n"/>
    </row>
    <row r="110">
      <c r="A110" s="21">
        <f>IF(B110="","",ROW()-4)</f>
        <v/>
      </c>
      <c r="B110" s="7" t="n"/>
      <c r="C110" s="22">
        <f>IF(B110="","",IFERROR(VLOOKUP(B110,'Guest Directory'!$A$5:$B$304,2,FALSE),""))</f>
        <v/>
      </c>
      <c r="D110" s="7" t="n"/>
    </row>
    <row r="111">
      <c r="A111" s="21">
        <f>IF(B111="","",ROW()-4)</f>
        <v/>
      </c>
      <c r="B111" s="7" t="n"/>
      <c r="C111" s="22">
        <f>IF(B111="","",IFERROR(VLOOKUP(B111,'Guest Directory'!$A$5:$B$304,2,FALSE),""))</f>
        <v/>
      </c>
      <c r="D111" s="7" t="n"/>
    </row>
    <row r="112">
      <c r="A112" s="21">
        <f>IF(B112="","",ROW()-4)</f>
        <v/>
      </c>
      <c r="B112" s="7" t="n"/>
      <c r="C112" s="22">
        <f>IF(B112="","",IFERROR(VLOOKUP(B112,'Guest Directory'!$A$5:$B$304,2,FALSE),""))</f>
        <v/>
      </c>
      <c r="D112" s="7" t="n"/>
    </row>
    <row r="113">
      <c r="A113" s="21">
        <f>IF(B113="","",ROW()-4)</f>
        <v/>
      </c>
      <c r="B113" s="7" t="n"/>
      <c r="C113" s="22">
        <f>IF(B113="","",IFERROR(VLOOKUP(B113,'Guest Directory'!$A$5:$B$304,2,FALSE),""))</f>
        <v/>
      </c>
      <c r="D113" s="7" t="n"/>
    </row>
    <row r="114">
      <c r="A114" s="21">
        <f>IF(B114="","",ROW()-4)</f>
        <v/>
      </c>
      <c r="B114" s="7" t="n"/>
      <c r="C114" s="22">
        <f>IF(B114="","",IFERROR(VLOOKUP(B114,'Guest Directory'!$A$5:$B$304,2,FALSE),""))</f>
        <v/>
      </c>
      <c r="D114" s="7" t="n"/>
    </row>
    <row r="115">
      <c r="A115" s="21">
        <f>IF(B115="","",ROW()-4)</f>
        <v/>
      </c>
      <c r="B115" s="7" t="n"/>
      <c r="C115" s="22">
        <f>IF(B115="","",IFERROR(VLOOKUP(B115,'Guest Directory'!$A$5:$B$304,2,FALSE),""))</f>
        <v/>
      </c>
      <c r="D115" s="7" t="n"/>
    </row>
    <row r="116">
      <c r="A116" s="21">
        <f>IF(B116="","",ROW()-4)</f>
        <v/>
      </c>
      <c r="B116" s="7" t="n"/>
      <c r="C116" s="22">
        <f>IF(B116="","",IFERROR(VLOOKUP(B116,'Guest Directory'!$A$5:$B$304,2,FALSE),""))</f>
        <v/>
      </c>
      <c r="D116" s="7" t="n"/>
    </row>
    <row r="117">
      <c r="A117" s="21">
        <f>IF(B117="","",ROW()-4)</f>
        <v/>
      </c>
      <c r="B117" s="7" t="n"/>
      <c r="C117" s="22">
        <f>IF(B117="","",IFERROR(VLOOKUP(B117,'Guest Directory'!$A$5:$B$304,2,FALSE),""))</f>
        <v/>
      </c>
      <c r="D117" s="7" t="n"/>
    </row>
    <row r="118">
      <c r="A118" s="21">
        <f>IF(B118="","",ROW()-4)</f>
        <v/>
      </c>
      <c r="B118" s="7" t="n"/>
      <c r="C118" s="22">
        <f>IF(B118="","",IFERROR(VLOOKUP(B118,'Guest Directory'!$A$5:$B$304,2,FALSE),""))</f>
        <v/>
      </c>
      <c r="D118" s="7" t="n"/>
    </row>
    <row r="119">
      <c r="A119" s="21">
        <f>IF(B119="","",ROW()-4)</f>
        <v/>
      </c>
      <c r="B119" s="7" t="n"/>
      <c r="C119" s="22">
        <f>IF(B119="","",IFERROR(VLOOKUP(B119,'Guest Directory'!$A$5:$B$304,2,FALSE),""))</f>
        <v/>
      </c>
      <c r="D119" s="7" t="n"/>
    </row>
    <row r="120">
      <c r="A120" s="21">
        <f>IF(B120="","",ROW()-4)</f>
        <v/>
      </c>
      <c r="B120" s="7" t="n"/>
      <c r="C120" s="22">
        <f>IF(B120="","",IFERROR(VLOOKUP(B120,'Guest Directory'!$A$5:$B$304,2,FALSE),""))</f>
        <v/>
      </c>
      <c r="D120" s="7" t="n"/>
    </row>
    <row r="121">
      <c r="A121" s="21">
        <f>IF(B121="","",ROW()-4)</f>
        <v/>
      </c>
      <c r="B121" s="7" t="n"/>
      <c r="C121" s="22">
        <f>IF(B121="","",IFERROR(VLOOKUP(B121,'Guest Directory'!$A$5:$B$304,2,FALSE),""))</f>
        <v/>
      </c>
      <c r="D121" s="7" t="n"/>
    </row>
    <row r="122">
      <c r="A122" s="21">
        <f>IF(B122="","",ROW()-4)</f>
        <v/>
      </c>
      <c r="B122" s="7" t="n"/>
      <c r="C122" s="22">
        <f>IF(B122="","",IFERROR(VLOOKUP(B122,'Guest Directory'!$A$5:$B$304,2,FALSE),""))</f>
        <v/>
      </c>
      <c r="D122" s="7" t="n"/>
    </row>
    <row r="123">
      <c r="A123" s="21">
        <f>IF(B123="","",ROW()-4)</f>
        <v/>
      </c>
      <c r="B123" s="7" t="n"/>
      <c r="C123" s="22">
        <f>IF(B123="","",IFERROR(VLOOKUP(B123,'Guest Directory'!$A$5:$B$304,2,FALSE),""))</f>
        <v/>
      </c>
      <c r="D123" s="7" t="n"/>
    </row>
    <row r="124">
      <c r="A124" s="21">
        <f>IF(B124="","",ROW()-4)</f>
        <v/>
      </c>
      <c r="B124" s="7" t="n"/>
      <c r="C124" s="22">
        <f>IF(B124="","",IFERROR(VLOOKUP(B124,'Guest Directory'!$A$5:$B$304,2,FALSE),""))</f>
        <v/>
      </c>
      <c r="D124" s="7" t="n"/>
    </row>
    <row r="125">
      <c r="A125" s="21">
        <f>IF(B125="","",ROW()-4)</f>
        <v/>
      </c>
      <c r="B125" s="7" t="n"/>
      <c r="C125" s="22">
        <f>IF(B125="","",IFERROR(VLOOKUP(B125,'Guest Directory'!$A$5:$B$304,2,FALSE),""))</f>
        <v/>
      </c>
      <c r="D125" s="7" t="n"/>
    </row>
    <row r="126">
      <c r="A126" s="21">
        <f>IF(B126="","",ROW()-4)</f>
        <v/>
      </c>
      <c r="B126" s="7" t="n"/>
      <c r="C126" s="22">
        <f>IF(B126="","",IFERROR(VLOOKUP(B126,'Guest Directory'!$A$5:$B$304,2,FALSE),""))</f>
        <v/>
      </c>
      <c r="D126" s="7" t="n"/>
    </row>
    <row r="127">
      <c r="A127" s="21">
        <f>IF(B127="","",ROW()-4)</f>
        <v/>
      </c>
      <c r="B127" s="7" t="n"/>
      <c r="C127" s="22">
        <f>IF(B127="","",IFERROR(VLOOKUP(B127,'Guest Directory'!$A$5:$B$304,2,FALSE),""))</f>
        <v/>
      </c>
      <c r="D127" s="7" t="n"/>
    </row>
    <row r="128">
      <c r="A128" s="21">
        <f>IF(B128="","",ROW()-4)</f>
        <v/>
      </c>
      <c r="B128" s="7" t="n"/>
      <c r="C128" s="22">
        <f>IF(B128="","",IFERROR(VLOOKUP(B128,'Guest Directory'!$A$5:$B$304,2,FALSE),""))</f>
        <v/>
      </c>
      <c r="D128" s="7" t="n"/>
    </row>
    <row r="129">
      <c r="A129" s="21">
        <f>IF(B129="","",ROW()-4)</f>
        <v/>
      </c>
      <c r="B129" s="7" t="n"/>
      <c r="C129" s="22">
        <f>IF(B129="","",IFERROR(VLOOKUP(B129,'Guest Directory'!$A$5:$B$304,2,FALSE),""))</f>
        <v/>
      </c>
      <c r="D129" s="7" t="n"/>
    </row>
    <row r="130">
      <c r="A130" s="21">
        <f>IF(B130="","",ROW()-4)</f>
        <v/>
      </c>
      <c r="B130" s="7" t="n"/>
      <c r="C130" s="22">
        <f>IF(B130="","",IFERROR(VLOOKUP(B130,'Guest Directory'!$A$5:$B$304,2,FALSE),""))</f>
        <v/>
      </c>
      <c r="D130" s="7" t="n"/>
    </row>
    <row r="131">
      <c r="A131" s="21">
        <f>IF(B131="","",ROW()-4)</f>
        <v/>
      </c>
      <c r="B131" s="7" t="n"/>
      <c r="C131" s="22">
        <f>IF(B131="","",IFERROR(VLOOKUP(B131,'Guest Directory'!$A$5:$B$304,2,FALSE),""))</f>
        <v/>
      </c>
      <c r="D131" s="7" t="n"/>
    </row>
    <row r="132">
      <c r="A132" s="21">
        <f>IF(B132="","",ROW()-4)</f>
        <v/>
      </c>
      <c r="B132" s="7" t="n"/>
      <c r="C132" s="22">
        <f>IF(B132="","",IFERROR(VLOOKUP(B132,'Guest Directory'!$A$5:$B$304,2,FALSE),""))</f>
        <v/>
      </c>
      <c r="D132" s="7" t="n"/>
    </row>
    <row r="133">
      <c r="A133" s="21">
        <f>IF(B133="","",ROW()-4)</f>
        <v/>
      </c>
      <c r="B133" s="7" t="n"/>
      <c r="C133" s="22">
        <f>IF(B133="","",IFERROR(VLOOKUP(B133,'Guest Directory'!$A$5:$B$304,2,FALSE),""))</f>
        <v/>
      </c>
      <c r="D133" s="7" t="n"/>
    </row>
    <row r="134">
      <c r="A134" s="21">
        <f>IF(B134="","",ROW()-4)</f>
        <v/>
      </c>
      <c r="B134" s="7" t="n"/>
      <c r="C134" s="22">
        <f>IF(B134="","",IFERROR(VLOOKUP(B134,'Guest Directory'!$A$5:$B$304,2,FALSE),""))</f>
        <v/>
      </c>
      <c r="D134" s="7" t="n"/>
    </row>
    <row r="135">
      <c r="A135" s="21">
        <f>IF(B135="","",ROW()-4)</f>
        <v/>
      </c>
      <c r="B135" s="7" t="n"/>
      <c r="C135" s="22">
        <f>IF(B135="","",IFERROR(VLOOKUP(B135,'Guest Directory'!$A$5:$B$304,2,FALSE),""))</f>
        <v/>
      </c>
      <c r="D135" s="7" t="n"/>
    </row>
    <row r="136">
      <c r="A136" s="21">
        <f>IF(B136="","",ROW()-4)</f>
        <v/>
      </c>
      <c r="B136" s="7" t="n"/>
      <c r="C136" s="22">
        <f>IF(B136="","",IFERROR(VLOOKUP(B136,'Guest Directory'!$A$5:$B$304,2,FALSE),""))</f>
        <v/>
      </c>
      <c r="D136" s="7" t="n"/>
    </row>
    <row r="137">
      <c r="A137" s="21">
        <f>IF(B137="","",ROW()-4)</f>
        <v/>
      </c>
      <c r="B137" s="7" t="n"/>
      <c r="C137" s="22">
        <f>IF(B137="","",IFERROR(VLOOKUP(B137,'Guest Directory'!$A$5:$B$304,2,FALSE),""))</f>
        <v/>
      </c>
      <c r="D137" s="7" t="n"/>
    </row>
    <row r="138">
      <c r="A138" s="21">
        <f>IF(B138="","",ROW()-4)</f>
        <v/>
      </c>
      <c r="B138" s="7" t="n"/>
      <c r="C138" s="22">
        <f>IF(B138="","",IFERROR(VLOOKUP(B138,'Guest Directory'!$A$5:$B$304,2,FALSE),""))</f>
        <v/>
      </c>
      <c r="D138" s="7" t="n"/>
    </row>
    <row r="139">
      <c r="A139" s="21">
        <f>IF(B139="","",ROW()-4)</f>
        <v/>
      </c>
      <c r="B139" s="7" t="n"/>
      <c r="C139" s="22">
        <f>IF(B139="","",IFERROR(VLOOKUP(B139,'Guest Directory'!$A$5:$B$304,2,FALSE),""))</f>
        <v/>
      </c>
      <c r="D139" s="7" t="n"/>
    </row>
    <row r="140">
      <c r="A140" s="21">
        <f>IF(B140="","",ROW()-4)</f>
        <v/>
      </c>
      <c r="B140" s="7" t="n"/>
      <c r="C140" s="22">
        <f>IF(B140="","",IFERROR(VLOOKUP(B140,'Guest Directory'!$A$5:$B$304,2,FALSE),""))</f>
        <v/>
      </c>
      <c r="D140" s="7" t="n"/>
    </row>
    <row r="141">
      <c r="A141" s="21">
        <f>IF(B141="","",ROW()-4)</f>
        <v/>
      </c>
      <c r="B141" s="7" t="n"/>
      <c r="C141" s="22">
        <f>IF(B141="","",IFERROR(VLOOKUP(B141,'Guest Directory'!$A$5:$B$304,2,FALSE),""))</f>
        <v/>
      </c>
      <c r="D141" s="7" t="n"/>
    </row>
    <row r="142">
      <c r="A142" s="21">
        <f>IF(B142="","",ROW()-4)</f>
        <v/>
      </c>
      <c r="B142" s="7" t="n"/>
      <c r="C142" s="22">
        <f>IF(B142="","",IFERROR(VLOOKUP(B142,'Guest Directory'!$A$5:$B$304,2,FALSE),""))</f>
        <v/>
      </c>
      <c r="D142" s="7" t="n"/>
    </row>
    <row r="143">
      <c r="A143" s="21">
        <f>IF(B143="","",ROW()-4)</f>
        <v/>
      </c>
      <c r="B143" s="7" t="n"/>
      <c r="C143" s="22">
        <f>IF(B143="","",IFERROR(VLOOKUP(B143,'Guest Directory'!$A$5:$B$304,2,FALSE),""))</f>
        <v/>
      </c>
      <c r="D143" s="7" t="n"/>
    </row>
    <row r="144">
      <c r="A144" s="21">
        <f>IF(B144="","",ROW()-4)</f>
        <v/>
      </c>
      <c r="B144" s="7" t="n"/>
      <c r="C144" s="22">
        <f>IF(B144="","",IFERROR(VLOOKUP(B144,'Guest Directory'!$A$5:$B$304,2,FALSE),""))</f>
        <v/>
      </c>
      <c r="D144" s="7" t="n"/>
    </row>
    <row r="145">
      <c r="A145" s="21">
        <f>IF(B145="","",ROW()-4)</f>
        <v/>
      </c>
      <c r="B145" s="7" t="n"/>
      <c r="C145" s="22">
        <f>IF(B145="","",IFERROR(VLOOKUP(B145,'Guest Directory'!$A$5:$B$304,2,FALSE),""))</f>
        <v/>
      </c>
      <c r="D145" s="7" t="n"/>
    </row>
    <row r="146">
      <c r="A146" s="21">
        <f>IF(B146="","",ROW()-4)</f>
        <v/>
      </c>
      <c r="B146" s="7" t="n"/>
      <c r="C146" s="22">
        <f>IF(B146="","",IFERROR(VLOOKUP(B146,'Guest Directory'!$A$5:$B$304,2,FALSE),""))</f>
        <v/>
      </c>
      <c r="D146" s="7" t="n"/>
    </row>
    <row r="147">
      <c r="A147" s="21">
        <f>IF(B147="","",ROW()-4)</f>
        <v/>
      </c>
      <c r="B147" s="7" t="n"/>
      <c r="C147" s="22">
        <f>IF(B147="","",IFERROR(VLOOKUP(B147,'Guest Directory'!$A$5:$B$304,2,FALSE),""))</f>
        <v/>
      </c>
      <c r="D147" s="7" t="n"/>
    </row>
    <row r="148">
      <c r="A148" s="21">
        <f>IF(B148="","",ROW()-4)</f>
        <v/>
      </c>
      <c r="B148" s="7" t="n"/>
      <c r="C148" s="22">
        <f>IF(B148="","",IFERROR(VLOOKUP(B148,'Guest Directory'!$A$5:$B$304,2,FALSE),""))</f>
        <v/>
      </c>
      <c r="D148" s="7" t="n"/>
    </row>
    <row r="149">
      <c r="A149" s="21">
        <f>IF(B149="","",ROW()-4)</f>
        <v/>
      </c>
      <c r="B149" s="7" t="n"/>
      <c r="C149" s="22">
        <f>IF(B149="","",IFERROR(VLOOKUP(B149,'Guest Directory'!$A$5:$B$304,2,FALSE),""))</f>
        <v/>
      </c>
      <c r="D149" s="7" t="n"/>
    </row>
    <row r="150">
      <c r="A150" s="21">
        <f>IF(B150="","",ROW()-4)</f>
        <v/>
      </c>
      <c r="B150" s="7" t="n"/>
      <c r="C150" s="22">
        <f>IF(B150="","",IFERROR(VLOOKUP(B150,'Guest Directory'!$A$5:$B$304,2,FALSE),""))</f>
        <v/>
      </c>
      <c r="D150" s="7" t="n"/>
    </row>
    <row r="151">
      <c r="A151" s="21">
        <f>IF(B151="","",ROW()-4)</f>
        <v/>
      </c>
      <c r="B151" s="7" t="n"/>
      <c r="C151" s="22">
        <f>IF(B151="","",IFERROR(VLOOKUP(B151,'Guest Directory'!$A$5:$B$304,2,FALSE),""))</f>
        <v/>
      </c>
      <c r="D151" s="7" t="n"/>
    </row>
    <row r="152">
      <c r="A152" s="21">
        <f>IF(B152="","",ROW()-4)</f>
        <v/>
      </c>
      <c r="B152" s="7" t="n"/>
      <c r="C152" s="22">
        <f>IF(B152="","",IFERROR(VLOOKUP(B152,'Guest Directory'!$A$5:$B$304,2,FALSE),""))</f>
        <v/>
      </c>
      <c r="D152" s="7" t="n"/>
    </row>
    <row r="153">
      <c r="A153" s="21">
        <f>IF(B153="","",ROW()-4)</f>
        <v/>
      </c>
      <c r="B153" s="7" t="n"/>
      <c r="C153" s="22">
        <f>IF(B153="","",IFERROR(VLOOKUP(B153,'Guest Directory'!$A$5:$B$304,2,FALSE),""))</f>
        <v/>
      </c>
      <c r="D153" s="7" t="n"/>
    </row>
    <row r="154">
      <c r="A154" s="21">
        <f>IF(B154="","",ROW()-4)</f>
        <v/>
      </c>
      <c r="B154" s="7" t="n"/>
      <c r="C154" s="22">
        <f>IF(B154="","",IFERROR(VLOOKUP(B154,'Guest Directory'!$A$5:$B$304,2,FALSE),""))</f>
        <v/>
      </c>
      <c r="D154" s="7" t="n"/>
    </row>
    <row r="155">
      <c r="A155" s="21">
        <f>IF(B155="","",ROW()-4)</f>
        <v/>
      </c>
      <c r="B155" s="7" t="n"/>
      <c r="C155" s="22">
        <f>IF(B155="","",IFERROR(VLOOKUP(B155,'Guest Directory'!$A$5:$B$304,2,FALSE),""))</f>
        <v/>
      </c>
      <c r="D155" s="7" t="n"/>
    </row>
    <row r="156">
      <c r="A156" s="21">
        <f>IF(B156="","",ROW()-4)</f>
        <v/>
      </c>
      <c r="B156" s="7" t="n"/>
      <c r="C156" s="22">
        <f>IF(B156="","",IFERROR(VLOOKUP(B156,'Guest Directory'!$A$5:$B$304,2,FALSE),""))</f>
        <v/>
      </c>
      <c r="D156" s="7" t="n"/>
    </row>
    <row r="157">
      <c r="A157" s="21">
        <f>IF(B157="","",ROW()-4)</f>
        <v/>
      </c>
      <c r="B157" s="7" t="n"/>
      <c r="C157" s="22">
        <f>IF(B157="","",IFERROR(VLOOKUP(B157,'Guest Directory'!$A$5:$B$304,2,FALSE),""))</f>
        <v/>
      </c>
      <c r="D157" s="7" t="n"/>
    </row>
    <row r="158">
      <c r="A158" s="21">
        <f>IF(B158="","",ROW()-4)</f>
        <v/>
      </c>
      <c r="B158" s="7" t="n"/>
      <c r="C158" s="22">
        <f>IF(B158="","",IFERROR(VLOOKUP(B158,'Guest Directory'!$A$5:$B$304,2,FALSE),""))</f>
        <v/>
      </c>
      <c r="D158" s="7" t="n"/>
    </row>
    <row r="159">
      <c r="A159" s="21">
        <f>IF(B159="","",ROW()-4)</f>
        <v/>
      </c>
      <c r="B159" s="7" t="n"/>
      <c r="C159" s="22">
        <f>IF(B159="","",IFERROR(VLOOKUP(B159,'Guest Directory'!$A$5:$B$304,2,FALSE),""))</f>
        <v/>
      </c>
      <c r="D159" s="7" t="n"/>
    </row>
    <row r="160">
      <c r="A160" s="21">
        <f>IF(B160="","",ROW()-4)</f>
        <v/>
      </c>
      <c r="B160" s="7" t="n"/>
      <c r="C160" s="22">
        <f>IF(B160="","",IFERROR(VLOOKUP(B160,'Guest Directory'!$A$5:$B$304,2,FALSE),""))</f>
        <v/>
      </c>
      <c r="D160" s="7" t="n"/>
    </row>
    <row r="161">
      <c r="A161" s="21">
        <f>IF(B161="","",ROW()-4)</f>
        <v/>
      </c>
      <c r="B161" s="7" t="n"/>
      <c r="C161" s="22">
        <f>IF(B161="","",IFERROR(VLOOKUP(B161,'Guest Directory'!$A$5:$B$304,2,FALSE),""))</f>
        <v/>
      </c>
      <c r="D161" s="7" t="n"/>
    </row>
    <row r="162">
      <c r="A162" s="21">
        <f>IF(B162="","",ROW()-4)</f>
        <v/>
      </c>
      <c r="B162" s="7" t="n"/>
      <c r="C162" s="22">
        <f>IF(B162="","",IFERROR(VLOOKUP(B162,'Guest Directory'!$A$5:$B$304,2,FALSE),""))</f>
        <v/>
      </c>
      <c r="D162" s="7" t="n"/>
    </row>
    <row r="163">
      <c r="A163" s="21">
        <f>IF(B163="","",ROW()-4)</f>
        <v/>
      </c>
      <c r="B163" s="7" t="n"/>
      <c r="C163" s="22">
        <f>IF(B163="","",IFERROR(VLOOKUP(B163,'Guest Directory'!$A$5:$B$304,2,FALSE),""))</f>
        <v/>
      </c>
      <c r="D163" s="7" t="n"/>
    </row>
    <row r="164">
      <c r="A164" s="21">
        <f>IF(B164="","",ROW()-4)</f>
        <v/>
      </c>
      <c r="B164" s="7" t="n"/>
      <c r="C164" s="22">
        <f>IF(B164="","",IFERROR(VLOOKUP(B164,'Guest Directory'!$A$5:$B$304,2,FALSE),""))</f>
        <v/>
      </c>
      <c r="D164" s="7" t="n"/>
    </row>
    <row r="165">
      <c r="A165" s="21">
        <f>IF(B165="","",ROW()-4)</f>
        <v/>
      </c>
      <c r="B165" s="7" t="n"/>
      <c r="C165" s="22">
        <f>IF(B165="","",IFERROR(VLOOKUP(B165,'Guest Directory'!$A$5:$B$304,2,FALSE),""))</f>
        <v/>
      </c>
      <c r="D165" s="7" t="n"/>
    </row>
    <row r="166">
      <c r="A166" s="21">
        <f>IF(B166="","",ROW()-4)</f>
        <v/>
      </c>
      <c r="B166" s="7" t="n"/>
      <c r="C166" s="22">
        <f>IF(B166="","",IFERROR(VLOOKUP(B166,'Guest Directory'!$A$5:$B$304,2,FALSE),""))</f>
        <v/>
      </c>
      <c r="D166" s="7" t="n"/>
    </row>
    <row r="167">
      <c r="A167" s="21">
        <f>IF(B167="","",ROW()-4)</f>
        <v/>
      </c>
      <c r="B167" s="7" t="n"/>
      <c r="C167" s="22">
        <f>IF(B167="","",IFERROR(VLOOKUP(B167,'Guest Directory'!$A$5:$B$304,2,FALSE),""))</f>
        <v/>
      </c>
      <c r="D167" s="7" t="n"/>
    </row>
    <row r="168">
      <c r="A168" s="21">
        <f>IF(B168="","",ROW()-4)</f>
        <v/>
      </c>
      <c r="B168" s="7" t="n"/>
      <c r="C168" s="22">
        <f>IF(B168="","",IFERROR(VLOOKUP(B168,'Guest Directory'!$A$5:$B$304,2,FALSE),""))</f>
        <v/>
      </c>
      <c r="D168" s="7" t="n"/>
    </row>
    <row r="169">
      <c r="A169" s="21">
        <f>IF(B169="","",ROW()-4)</f>
        <v/>
      </c>
      <c r="B169" s="7" t="n"/>
      <c r="C169" s="22">
        <f>IF(B169="","",IFERROR(VLOOKUP(B169,'Guest Directory'!$A$5:$B$304,2,FALSE),""))</f>
        <v/>
      </c>
      <c r="D169" s="7" t="n"/>
    </row>
    <row r="170">
      <c r="A170" s="21">
        <f>IF(B170="","",ROW()-4)</f>
        <v/>
      </c>
      <c r="B170" s="7" t="n"/>
      <c r="C170" s="22">
        <f>IF(B170="","",IFERROR(VLOOKUP(B170,'Guest Directory'!$A$5:$B$304,2,FALSE),""))</f>
        <v/>
      </c>
      <c r="D170" s="7" t="n"/>
    </row>
    <row r="171">
      <c r="A171" s="21">
        <f>IF(B171="","",ROW()-4)</f>
        <v/>
      </c>
      <c r="B171" s="7" t="n"/>
      <c r="C171" s="22">
        <f>IF(B171="","",IFERROR(VLOOKUP(B171,'Guest Directory'!$A$5:$B$304,2,FALSE),""))</f>
        <v/>
      </c>
      <c r="D171" s="7" t="n"/>
    </row>
    <row r="172">
      <c r="A172" s="21">
        <f>IF(B172="","",ROW()-4)</f>
        <v/>
      </c>
      <c r="B172" s="7" t="n"/>
      <c r="C172" s="22">
        <f>IF(B172="","",IFERROR(VLOOKUP(B172,'Guest Directory'!$A$5:$B$304,2,FALSE),""))</f>
        <v/>
      </c>
      <c r="D172" s="7" t="n"/>
    </row>
    <row r="173">
      <c r="A173" s="21">
        <f>IF(B173="","",ROW()-4)</f>
        <v/>
      </c>
      <c r="B173" s="7" t="n"/>
      <c r="C173" s="22">
        <f>IF(B173="","",IFERROR(VLOOKUP(B173,'Guest Directory'!$A$5:$B$304,2,FALSE),""))</f>
        <v/>
      </c>
      <c r="D173" s="7" t="n"/>
    </row>
    <row r="174">
      <c r="A174" s="21">
        <f>IF(B174="","",ROW()-4)</f>
        <v/>
      </c>
      <c r="B174" s="7" t="n"/>
      <c r="C174" s="22">
        <f>IF(B174="","",IFERROR(VLOOKUP(B174,'Guest Directory'!$A$5:$B$304,2,FALSE),""))</f>
        <v/>
      </c>
      <c r="D174" s="7" t="n"/>
    </row>
    <row r="175">
      <c r="A175" s="21">
        <f>IF(B175="","",ROW()-4)</f>
        <v/>
      </c>
      <c r="B175" s="7" t="n"/>
      <c r="C175" s="22">
        <f>IF(B175="","",IFERROR(VLOOKUP(B175,'Guest Directory'!$A$5:$B$304,2,FALSE),""))</f>
        <v/>
      </c>
      <c r="D175" s="7" t="n"/>
    </row>
    <row r="176">
      <c r="A176" s="21">
        <f>IF(B176="","",ROW()-4)</f>
        <v/>
      </c>
      <c r="B176" s="7" t="n"/>
      <c r="C176" s="22">
        <f>IF(B176="","",IFERROR(VLOOKUP(B176,'Guest Directory'!$A$5:$B$304,2,FALSE),""))</f>
        <v/>
      </c>
      <c r="D176" s="7" t="n"/>
    </row>
    <row r="177">
      <c r="A177" s="21">
        <f>IF(B177="","",ROW()-4)</f>
        <v/>
      </c>
      <c r="B177" s="7" t="n"/>
      <c r="C177" s="22">
        <f>IF(B177="","",IFERROR(VLOOKUP(B177,'Guest Directory'!$A$5:$B$304,2,FALSE),""))</f>
        <v/>
      </c>
      <c r="D177" s="7" t="n"/>
    </row>
    <row r="178">
      <c r="A178" s="21">
        <f>IF(B178="","",ROW()-4)</f>
        <v/>
      </c>
      <c r="B178" s="7" t="n"/>
      <c r="C178" s="22">
        <f>IF(B178="","",IFERROR(VLOOKUP(B178,'Guest Directory'!$A$5:$B$304,2,FALSE),""))</f>
        <v/>
      </c>
      <c r="D178" s="7" t="n"/>
    </row>
    <row r="179">
      <c r="A179" s="21">
        <f>IF(B179="","",ROW()-4)</f>
        <v/>
      </c>
      <c r="B179" s="7" t="n"/>
      <c r="C179" s="22">
        <f>IF(B179="","",IFERROR(VLOOKUP(B179,'Guest Directory'!$A$5:$B$304,2,FALSE),""))</f>
        <v/>
      </c>
      <c r="D179" s="7" t="n"/>
    </row>
    <row r="180">
      <c r="A180" s="21">
        <f>IF(B180="","",ROW()-4)</f>
        <v/>
      </c>
      <c r="B180" s="7" t="n"/>
      <c r="C180" s="22">
        <f>IF(B180="","",IFERROR(VLOOKUP(B180,'Guest Directory'!$A$5:$B$304,2,FALSE),""))</f>
        <v/>
      </c>
      <c r="D180" s="7" t="n"/>
    </row>
    <row r="181">
      <c r="A181" s="21">
        <f>IF(B181="","",ROW()-4)</f>
        <v/>
      </c>
      <c r="B181" s="7" t="n"/>
      <c r="C181" s="22">
        <f>IF(B181="","",IFERROR(VLOOKUP(B181,'Guest Directory'!$A$5:$B$304,2,FALSE),""))</f>
        <v/>
      </c>
      <c r="D181" s="7" t="n"/>
    </row>
    <row r="182">
      <c r="A182" s="21">
        <f>IF(B182="","",ROW()-4)</f>
        <v/>
      </c>
      <c r="B182" s="7" t="n"/>
      <c r="C182" s="22">
        <f>IF(B182="","",IFERROR(VLOOKUP(B182,'Guest Directory'!$A$5:$B$304,2,FALSE),""))</f>
        <v/>
      </c>
      <c r="D182" s="7" t="n"/>
    </row>
    <row r="183">
      <c r="A183" s="21">
        <f>IF(B183="","",ROW()-4)</f>
        <v/>
      </c>
      <c r="B183" s="7" t="n"/>
      <c r="C183" s="22">
        <f>IF(B183="","",IFERROR(VLOOKUP(B183,'Guest Directory'!$A$5:$B$304,2,FALSE),""))</f>
        <v/>
      </c>
      <c r="D183" s="7" t="n"/>
    </row>
    <row r="184">
      <c r="A184" s="21">
        <f>IF(B184="","",ROW()-4)</f>
        <v/>
      </c>
      <c r="B184" s="7" t="n"/>
      <c r="C184" s="22">
        <f>IF(B184="","",IFERROR(VLOOKUP(B184,'Guest Directory'!$A$5:$B$304,2,FALSE),""))</f>
        <v/>
      </c>
      <c r="D184" s="7" t="n"/>
    </row>
    <row r="185">
      <c r="A185" s="21">
        <f>IF(B185="","",ROW()-4)</f>
        <v/>
      </c>
      <c r="B185" s="7" t="n"/>
      <c r="C185" s="22">
        <f>IF(B185="","",IFERROR(VLOOKUP(B185,'Guest Directory'!$A$5:$B$304,2,FALSE),""))</f>
        <v/>
      </c>
      <c r="D185" s="7" t="n"/>
    </row>
    <row r="186">
      <c r="A186" s="21">
        <f>IF(B186="","",ROW()-4)</f>
        <v/>
      </c>
      <c r="B186" s="7" t="n"/>
      <c r="C186" s="22">
        <f>IF(B186="","",IFERROR(VLOOKUP(B186,'Guest Directory'!$A$5:$B$304,2,FALSE),""))</f>
        <v/>
      </c>
      <c r="D186" s="7" t="n"/>
    </row>
    <row r="187">
      <c r="A187" s="21">
        <f>IF(B187="","",ROW()-4)</f>
        <v/>
      </c>
      <c r="B187" s="7" t="n"/>
      <c r="C187" s="22">
        <f>IF(B187="","",IFERROR(VLOOKUP(B187,'Guest Directory'!$A$5:$B$304,2,FALSE),""))</f>
        <v/>
      </c>
      <c r="D187" s="7" t="n"/>
    </row>
    <row r="188">
      <c r="A188" s="21">
        <f>IF(B188="","",ROW()-4)</f>
        <v/>
      </c>
      <c r="B188" s="7" t="n"/>
      <c r="C188" s="22">
        <f>IF(B188="","",IFERROR(VLOOKUP(B188,'Guest Directory'!$A$5:$B$304,2,FALSE),""))</f>
        <v/>
      </c>
      <c r="D188" s="7" t="n"/>
    </row>
    <row r="189">
      <c r="A189" s="21">
        <f>IF(B189="","",ROW()-4)</f>
        <v/>
      </c>
      <c r="B189" s="7" t="n"/>
      <c r="C189" s="22">
        <f>IF(B189="","",IFERROR(VLOOKUP(B189,'Guest Directory'!$A$5:$B$304,2,FALSE),""))</f>
        <v/>
      </c>
      <c r="D189" s="7" t="n"/>
    </row>
    <row r="190">
      <c r="A190" s="21">
        <f>IF(B190="","",ROW()-4)</f>
        <v/>
      </c>
      <c r="B190" s="7" t="n"/>
      <c r="C190" s="22">
        <f>IF(B190="","",IFERROR(VLOOKUP(B190,'Guest Directory'!$A$5:$B$304,2,FALSE),""))</f>
        <v/>
      </c>
      <c r="D190" s="7" t="n"/>
    </row>
    <row r="191">
      <c r="A191" s="21">
        <f>IF(B191="","",ROW()-4)</f>
        <v/>
      </c>
      <c r="B191" s="7" t="n"/>
      <c r="C191" s="22">
        <f>IF(B191="","",IFERROR(VLOOKUP(B191,'Guest Directory'!$A$5:$B$304,2,FALSE),""))</f>
        <v/>
      </c>
      <c r="D191" s="7" t="n"/>
    </row>
    <row r="192">
      <c r="A192" s="21">
        <f>IF(B192="","",ROW()-4)</f>
        <v/>
      </c>
      <c r="B192" s="7" t="n"/>
      <c r="C192" s="22">
        <f>IF(B192="","",IFERROR(VLOOKUP(B192,'Guest Directory'!$A$5:$B$304,2,FALSE),""))</f>
        <v/>
      </c>
      <c r="D192" s="7" t="n"/>
    </row>
    <row r="193">
      <c r="A193" s="21">
        <f>IF(B193="","",ROW()-4)</f>
        <v/>
      </c>
      <c r="B193" s="7" t="n"/>
      <c r="C193" s="22">
        <f>IF(B193="","",IFERROR(VLOOKUP(B193,'Guest Directory'!$A$5:$B$304,2,FALSE),""))</f>
        <v/>
      </c>
      <c r="D193" s="7" t="n"/>
    </row>
    <row r="194">
      <c r="A194" s="21">
        <f>IF(B194="","",ROW()-4)</f>
        <v/>
      </c>
      <c r="B194" s="7" t="n"/>
      <c r="C194" s="22">
        <f>IF(B194="","",IFERROR(VLOOKUP(B194,'Guest Directory'!$A$5:$B$304,2,FALSE),""))</f>
        <v/>
      </c>
      <c r="D194" s="7" t="n"/>
    </row>
    <row r="195">
      <c r="A195" s="21">
        <f>IF(B195="","",ROW()-4)</f>
        <v/>
      </c>
      <c r="B195" s="7" t="n"/>
      <c r="C195" s="22">
        <f>IF(B195="","",IFERROR(VLOOKUP(B195,'Guest Directory'!$A$5:$B$304,2,FALSE),""))</f>
        <v/>
      </c>
      <c r="D195" s="7" t="n"/>
    </row>
    <row r="196">
      <c r="A196" s="21">
        <f>IF(B196="","",ROW()-4)</f>
        <v/>
      </c>
      <c r="B196" s="7" t="n"/>
      <c r="C196" s="22">
        <f>IF(B196="","",IFERROR(VLOOKUP(B196,'Guest Directory'!$A$5:$B$304,2,FALSE),""))</f>
        <v/>
      </c>
      <c r="D196" s="7" t="n"/>
    </row>
    <row r="197">
      <c r="A197" s="21">
        <f>IF(B197="","",ROW()-4)</f>
        <v/>
      </c>
      <c r="B197" s="7" t="n"/>
      <c r="C197" s="22">
        <f>IF(B197="","",IFERROR(VLOOKUP(B197,'Guest Directory'!$A$5:$B$304,2,FALSE),""))</f>
        <v/>
      </c>
      <c r="D197" s="7" t="n"/>
    </row>
    <row r="198">
      <c r="A198" s="21">
        <f>IF(B198="","",ROW()-4)</f>
        <v/>
      </c>
      <c r="B198" s="7" t="n"/>
      <c r="C198" s="22">
        <f>IF(B198="","",IFERROR(VLOOKUP(B198,'Guest Directory'!$A$5:$B$304,2,FALSE),""))</f>
        <v/>
      </c>
      <c r="D198" s="7" t="n"/>
    </row>
    <row r="199">
      <c r="A199" s="21">
        <f>IF(B199="","",ROW()-4)</f>
        <v/>
      </c>
      <c r="B199" s="7" t="n"/>
      <c r="C199" s="22">
        <f>IF(B199="","",IFERROR(VLOOKUP(B199,'Guest Directory'!$A$5:$B$304,2,FALSE),""))</f>
        <v/>
      </c>
      <c r="D199" s="7" t="n"/>
    </row>
    <row r="200">
      <c r="A200" s="21">
        <f>IF(B200="","",ROW()-4)</f>
        <v/>
      </c>
      <c r="B200" s="7" t="n"/>
      <c r="C200" s="22">
        <f>IF(B200="","",IFERROR(VLOOKUP(B200,'Guest Directory'!$A$5:$B$304,2,FALSE),""))</f>
        <v/>
      </c>
      <c r="D200" s="7" t="n"/>
    </row>
    <row r="201">
      <c r="A201" s="21">
        <f>IF(B201="","",ROW()-4)</f>
        <v/>
      </c>
      <c r="B201" s="7" t="n"/>
      <c r="C201" s="22">
        <f>IF(B201="","",IFERROR(VLOOKUP(B201,'Guest Directory'!$A$5:$B$304,2,FALSE),""))</f>
        <v/>
      </c>
      <c r="D201" s="7" t="n"/>
    </row>
    <row r="202">
      <c r="A202" s="21">
        <f>IF(B202="","",ROW()-4)</f>
        <v/>
      </c>
      <c r="B202" s="7" t="n"/>
      <c r="C202" s="22">
        <f>IF(B202="","",IFERROR(VLOOKUP(B202,'Guest Directory'!$A$5:$B$304,2,FALSE),""))</f>
        <v/>
      </c>
      <c r="D202" s="7" t="n"/>
    </row>
    <row r="203">
      <c r="A203" s="21">
        <f>IF(B203="","",ROW()-4)</f>
        <v/>
      </c>
      <c r="B203" s="7" t="n"/>
      <c r="C203" s="22">
        <f>IF(B203="","",IFERROR(VLOOKUP(B203,'Guest Directory'!$A$5:$B$304,2,FALSE),""))</f>
        <v/>
      </c>
      <c r="D203" s="7" t="n"/>
    </row>
    <row r="204">
      <c r="A204" s="21">
        <f>IF(B204="","",ROW()-4)</f>
        <v/>
      </c>
      <c r="B204" s="7" t="n"/>
      <c r="C204" s="22">
        <f>IF(B204="","",IFERROR(VLOOKUP(B204,'Guest Directory'!$A$5:$B$304,2,FALSE),""))</f>
        <v/>
      </c>
      <c r="D204" s="7" t="n"/>
    </row>
    <row r="205">
      <c r="A205" s="21">
        <f>IF(B205="","",ROW()-4)</f>
        <v/>
      </c>
      <c r="B205" s="7" t="n"/>
      <c r="C205" s="22">
        <f>IF(B205="","",IFERROR(VLOOKUP(B205,'Guest Directory'!$A$5:$B$304,2,FALSE),""))</f>
        <v/>
      </c>
      <c r="D205" s="7" t="n"/>
    </row>
    <row r="206">
      <c r="A206" s="21">
        <f>IF(B206="","",ROW()-4)</f>
        <v/>
      </c>
      <c r="B206" s="7" t="n"/>
      <c r="C206" s="22">
        <f>IF(B206="","",IFERROR(VLOOKUP(B206,'Guest Directory'!$A$5:$B$304,2,FALSE),""))</f>
        <v/>
      </c>
      <c r="D206" s="7" t="n"/>
    </row>
    <row r="207">
      <c r="A207" s="21">
        <f>IF(B207="","",ROW()-4)</f>
        <v/>
      </c>
      <c r="B207" s="7" t="n"/>
      <c r="C207" s="22">
        <f>IF(B207="","",IFERROR(VLOOKUP(B207,'Guest Directory'!$A$5:$B$304,2,FALSE),""))</f>
        <v/>
      </c>
      <c r="D207" s="7" t="n"/>
    </row>
    <row r="208">
      <c r="A208" s="21">
        <f>IF(B208="","",ROW()-4)</f>
        <v/>
      </c>
      <c r="B208" s="7" t="n"/>
      <c r="C208" s="22">
        <f>IF(B208="","",IFERROR(VLOOKUP(B208,'Guest Directory'!$A$5:$B$304,2,FALSE),""))</f>
        <v/>
      </c>
      <c r="D208" s="7" t="n"/>
    </row>
    <row r="209">
      <c r="A209" s="21">
        <f>IF(B209="","",ROW()-4)</f>
        <v/>
      </c>
      <c r="B209" s="7" t="n"/>
      <c r="C209" s="22">
        <f>IF(B209="","",IFERROR(VLOOKUP(B209,'Guest Directory'!$A$5:$B$304,2,FALSE),""))</f>
        <v/>
      </c>
      <c r="D209" s="7" t="n"/>
    </row>
    <row r="210">
      <c r="A210" s="21">
        <f>IF(B210="","",ROW()-4)</f>
        <v/>
      </c>
      <c r="B210" s="7" t="n"/>
      <c r="C210" s="22">
        <f>IF(B210="","",IFERROR(VLOOKUP(B210,'Guest Directory'!$A$5:$B$304,2,FALSE),""))</f>
        <v/>
      </c>
      <c r="D210" s="7" t="n"/>
    </row>
    <row r="211">
      <c r="A211" s="21">
        <f>IF(B211="","",ROW()-4)</f>
        <v/>
      </c>
      <c r="B211" s="7" t="n"/>
      <c r="C211" s="22">
        <f>IF(B211="","",IFERROR(VLOOKUP(B211,'Guest Directory'!$A$5:$B$304,2,FALSE),""))</f>
        <v/>
      </c>
      <c r="D211" s="7" t="n"/>
    </row>
    <row r="212">
      <c r="A212" s="21">
        <f>IF(B212="","",ROW()-4)</f>
        <v/>
      </c>
      <c r="B212" s="7" t="n"/>
      <c r="C212" s="22">
        <f>IF(B212="","",IFERROR(VLOOKUP(B212,'Guest Directory'!$A$5:$B$304,2,FALSE),""))</f>
        <v/>
      </c>
      <c r="D212" s="7" t="n"/>
    </row>
    <row r="213">
      <c r="A213" s="21">
        <f>IF(B213="","",ROW()-4)</f>
        <v/>
      </c>
      <c r="B213" s="7" t="n"/>
      <c r="C213" s="22">
        <f>IF(B213="","",IFERROR(VLOOKUP(B213,'Guest Directory'!$A$5:$B$304,2,FALSE),""))</f>
        <v/>
      </c>
      <c r="D213" s="7" t="n"/>
    </row>
    <row r="214">
      <c r="A214" s="21">
        <f>IF(B214="","",ROW()-4)</f>
        <v/>
      </c>
      <c r="B214" s="7" t="n"/>
      <c r="C214" s="22">
        <f>IF(B214="","",IFERROR(VLOOKUP(B214,'Guest Directory'!$A$5:$B$304,2,FALSE),""))</f>
        <v/>
      </c>
      <c r="D214" s="7" t="n"/>
    </row>
    <row r="215">
      <c r="A215" s="21">
        <f>IF(B215="","",ROW()-4)</f>
        <v/>
      </c>
      <c r="B215" s="7" t="n"/>
      <c r="C215" s="22">
        <f>IF(B215="","",IFERROR(VLOOKUP(B215,'Guest Directory'!$A$5:$B$304,2,FALSE),""))</f>
        <v/>
      </c>
      <c r="D215" s="7" t="n"/>
    </row>
    <row r="216">
      <c r="A216" s="21">
        <f>IF(B216="","",ROW()-4)</f>
        <v/>
      </c>
      <c r="B216" s="7" t="n"/>
      <c r="C216" s="22">
        <f>IF(B216="","",IFERROR(VLOOKUP(B216,'Guest Directory'!$A$5:$B$304,2,FALSE),""))</f>
        <v/>
      </c>
      <c r="D216" s="7" t="n"/>
    </row>
    <row r="217">
      <c r="A217" s="21">
        <f>IF(B217="","",ROW()-4)</f>
        <v/>
      </c>
      <c r="B217" s="7" t="n"/>
      <c r="C217" s="22">
        <f>IF(B217="","",IFERROR(VLOOKUP(B217,'Guest Directory'!$A$5:$B$304,2,FALSE),""))</f>
        <v/>
      </c>
      <c r="D217" s="7" t="n"/>
    </row>
    <row r="218">
      <c r="A218" s="21">
        <f>IF(B218="","",ROW()-4)</f>
        <v/>
      </c>
      <c r="B218" s="7" t="n"/>
      <c r="C218" s="22">
        <f>IF(B218="","",IFERROR(VLOOKUP(B218,'Guest Directory'!$A$5:$B$304,2,FALSE),""))</f>
        <v/>
      </c>
      <c r="D218" s="7" t="n"/>
    </row>
    <row r="219">
      <c r="A219" s="21">
        <f>IF(B219="","",ROW()-4)</f>
        <v/>
      </c>
      <c r="B219" s="7" t="n"/>
      <c r="C219" s="22">
        <f>IF(B219="","",IFERROR(VLOOKUP(B219,'Guest Directory'!$A$5:$B$304,2,FALSE),""))</f>
        <v/>
      </c>
      <c r="D219" s="7" t="n"/>
    </row>
    <row r="220">
      <c r="A220" s="21">
        <f>IF(B220="","",ROW()-4)</f>
        <v/>
      </c>
      <c r="B220" s="7" t="n"/>
      <c r="C220" s="22">
        <f>IF(B220="","",IFERROR(VLOOKUP(B220,'Guest Directory'!$A$5:$B$304,2,FALSE),""))</f>
        <v/>
      </c>
      <c r="D220" s="7" t="n"/>
    </row>
    <row r="221">
      <c r="A221" s="21">
        <f>IF(B221="","",ROW()-4)</f>
        <v/>
      </c>
      <c r="B221" s="7" t="n"/>
      <c r="C221" s="22">
        <f>IF(B221="","",IFERROR(VLOOKUP(B221,'Guest Directory'!$A$5:$B$304,2,FALSE),""))</f>
        <v/>
      </c>
      <c r="D221" s="7" t="n"/>
    </row>
    <row r="222">
      <c r="A222" s="21">
        <f>IF(B222="","",ROW()-4)</f>
        <v/>
      </c>
      <c r="B222" s="7" t="n"/>
      <c r="C222" s="22">
        <f>IF(B222="","",IFERROR(VLOOKUP(B222,'Guest Directory'!$A$5:$B$304,2,FALSE),""))</f>
        <v/>
      </c>
      <c r="D222" s="7" t="n"/>
    </row>
    <row r="223">
      <c r="A223" s="21">
        <f>IF(B223="","",ROW()-4)</f>
        <v/>
      </c>
      <c r="B223" s="7" t="n"/>
      <c r="C223" s="22">
        <f>IF(B223="","",IFERROR(VLOOKUP(B223,'Guest Directory'!$A$5:$B$304,2,FALSE),""))</f>
        <v/>
      </c>
      <c r="D223" s="7" t="n"/>
    </row>
    <row r="224">
      <c r="A224" s="21">
        <f>IF(B224="","",ROW()-4)</f>
        <v/>
      </c>
      <c r="B224" s="7" t="n"/>
      <c r="C224" s="22">
        <f>IF(B224="","",IFERROR(VLOOKUP(B224,'Guest Directory'!$A$5:$B$304,2,FALSE),""))</f>
        <v/>
      </c>
      <c r="D224" s="7" t="n"/>
    </row>
    <row r="225">
      <c r="A225" s="21">
        <f>IF(B225="","",ROW()-4)</f>
        <v/>
      </c>
      <c r="B225" s="7" t="n"/>
      <c r="C225" s="22">
        <f>IF(B225="","",IFERROR(VLOOKUP(B225,'Guest Directory'!$A$5:$B$304,2,FALSE),""))</f>
        <v/>
      </c>
      <c r="D225" s="7" t="n"/>
    </row>
    <row r="226">
      <c r="A226" s="21">
        <f>IF(B226="","",ROW()-4)</f>
        <v/>
      </c>
      <c r="B226" s="7" t="n"/>
      <c r="C226" s="22">
        <f>IF(B226="","",IFERROR(VLOOKUP(B226,'Guest Directory'!$A$5:$B$304,2,FALSE),""))</f>
        <v/>
      </c>
      <c r="D226" s="7" t="n"/>
    </row>
    <row r="227">
      <c r="A227" s="21">
        <f>IF(B227="","",ROW()-4)</f>
        <v/>
      </c>
      <c r="B227" s="7" t="n"/>
      <c r="C227" s="22">
        <f>IF(B227="","",IFERROR(VLOOKUP(B227,'Guest Directory'!$A$5:$B$304,2,FALSE),""))</f>
        <v/>
      </c>
      <c r="D227" s="7" t="n"/>
    </row>
    <row r="228">
      <c r="A228" s="21">
        <f>IF(B228="","",ROW()-4)</f>
        <v/>
      </c>
      <c r="B228" s="7" t="n"/>
      <c r="C228" s="22">
        <f>IF(B228="","",IFERROR(VLOOKUP(B228,'Guest Directory'!$A$5:$B$304,2,FALSE),""))</f>
        <v/>
      </c>
      <c r="D228" s="7" t="n"/>
    </row>
    <row r="229">
      <c r="A229" s="21">
        <f>IF(B229="","",ROW()-4)</f>
        <v/>
      </c>
      <c r="B229" s="7" t="n"/>
      <c r="C229" s="22">
        <f>IF(B229="","",IFERROR(VLOOKUP(B229,'Guest Directory'!$A$5:$B$304,2,FALSE),""))</f>
        <v/>
      </c>
      <c r="D229" s="7" t="n"/>
    </row>
    <row r="230">
      <c r="A230" s="21">
        <f>IF(B230="","",ROW()-4)</f>
        <v/>
      </c>
      <c r="B230" s="7" t="n"/>
      <c r="C230" s="22">
        <f>IF(B230="","",IFERROR(VLOOKUP(B230,'Guest Directory'!$A$5:$B$304,2,FALSE),""))</f>
        <v/>
      </c>
      <c r="D230" s="7" t="n"/>
    </row>
    <row r="231">
      <c r="A231" s="21">
        <f>IF(B231="","",ROW()-4)</f>
        <v/>
      </c>
      <c r="B231" s="7" t="n"/>
      <c r="C231" s="22">
        <f>IF(B231="","",IFERROR(VLOOKUP(B231,'Guest Directory'!$A$5:$B$304,2,FALSE),""))</f>
        <v/>
      </c>
      <c r="D231" s="7" t="n"/>
    </row>
    <row r="232">
      <c r="A232" s="21">
        <f>IF(B232="","",ROW()-4)</f>
        <v/>
      </c>
      <c r="B232" s="7" t="n"/>
      <c r="C232" s="22">
        <f>IF(B232="","",IFERROR(VLOOKUP(B232,'Guest Directory'!$A$5:$B$304,2,FALSE),""))</f>
        <v/>
      </c>
      <c r="D232" s="7" t="n"/>
    </row>
    <row r="233">
      <c r="A233" s="21">
        <f>IF(B233="","",ROW()-4)</f>
        <v/>
      </c>
      <c r="B233" s="7" t="n"/>
      <c r="C233" s="22">
        <f>IF(B233="","",IFERROR(VLOOKUP(B233,'Guest Directory'!$A$5:$B$304,2,FALSE),""))</f>
        <v/>
      </c>
      <c r="D233" s="7" t="n"/>
    </row>
    <row r="234">
      <c r="A234" s="21">
        <f>IF(B234="","",ROW()-4)</f>
        <v/>
      </c>
      <c r="B234" s="7" t="n"/>
      <c r="C234" s="22">
        <f>IF(B234="","",IFERROR(VLOOKUP(B234,'Guest Directory'!$A$5:$B$304,2,FALSE),""))</f>
        <v/>
      </c>
      <c r="D234" s="7" t="n"/>
    </row>
    <row r="235">
      <c r="A235" s="21">
        <f>IF(B235="","",ROW()-4)</f>
        <v/>
      </c>
      <c r="B235" s="7" t="n"/>
      <c r="C235" s="22">
        <f>IF(B235="","",IFERROR(VLOOKUP(B235,'Guest Directory'!$A$5:$B$304,2,FALSE),""))</f>
        <v/>
      </c>
      <c r="D235" s="7" t="n"/>
    </row>
    <row r="236">
      <c r="A236" s="21">
        <f>IF(B236="","",ROW()-4)</f>
        <v/>
      </c>
      <c r="B236" s="7" t="n"/>
      <c r="C236" s="22">
        <f>IF(B236="","",IFERROR(VLOOKUP(B236,'Guest Directory'!$A$5:$B$304,2,FALSE),""))</f>
        <v/>
      </c>
      <c r="D236" s="7" t="n"/>
    </row>
    <row r="237">
      <c r="A237" s="21">
        <f>IF(B237="","",ROW()-4)</f>
        <v/>
      </c>
      <c r="B237" s="7" t="n"/>
      <c r="C237" s="22">
        <f>IF(B237="","",IFERROR(VLOOKUP(B237,'Guest Directory'!$A$5:$B$304,2,FALSE),""))</f>
        <v/>
      </c>
      <c r="D237" s="7" t="n"/>
    </row>
    <row r="238">
      <c r="A238" s="21">
        <f>IF(B238="","",ROW()-4)</f>
        <v/>
      </c>
      <c r="B238" s="7" t="n"/>
      <c r="C238" s="22">
        <f>IF(B238="","",IFERROR(VLOOKUP(B238,'Guest Directory'!$A$5:$B$304,2,FALSE),""))</f>
        <v/>
      </c>
      <c r="D238" s="7" t="n"/>
    </row>
    <row r="239">
      <c r="A239" s="21">
        <f>IF(B239="","",ROW()-4)</f>
        <v/>
      </c>
      <c r="B239" s="7" t="n"/>
      <c r="C239" s="22">
        <f>IF(B239="","",IFERROR(VLOOKUP(B239,'Guest Directory'!$A$5:$B$304,2,FALSE),""))</f>
        <v/>
      </c>
      <c r="D239" s="7" t="n"/>
    </row>
    <row r="240">
      <c r="A240" s="21">
        <f>IF(B240="","",ROW()-4)</f>
        <v/>
      </c>
      <c r="B240" s="7" t="n"/>
      <c r="C240" s="22">
        <f>IF(B240="","",IFERROR(VLOOKUP(B240,'Guest Directory'!$A$5:$B$304,2,FALSE),""))</f>
        <v/>
      </c>
      <c r="D240" s="7" t="n"/>
    </row>
    <row r="241">
      <c r="A241" s="21">
        <f>IF(B241="","",ROW()-4)</f>
        <v/>
      </c>
      <c r="B241" s="7" t="n"/>
      <c r="C241" s="22">
        <f>IF(B241="","",IFERROR(VLOOKUP(B241,'Guest Directory'!$A$5:$B$304,2,FALSE),""))</f>
        <v/>
      </c>
      <c r="D241" s="7" t="n"/>
    </row>
    <row r="242">
      <c r="A242" s="21">
        <f>IF(B242="","",ROW()-4)</f>
        <v/>
      </c>
      <c r="B242" s="7" t="n"/>
      <c r="C242" s="22">
        <f>IF(B242="","",IFERROR(VLOOKUP(B242,'Guest Directory'!$A$5:$B$304,2,FALSE),""))</f>
        <v/>
      </c>
      <c r="D242" s="7" t="n"/>
    </row>
    <row r="243">
      <c r="A243" s="21">
        <f>IF(B243="","",ROW()-4)</f>
        <v/>
      </c>
      <c r="B243" s="7" t="n"/>
      <c r="C243" s="22">
        <f>IF(B243="","",IFERROR(VLOOKUP(B243,'Guest Directory'!$A$5:$B$304,2,FALSE),""))</f>
        <v/>
      </c>
      <c r="D243" s="7" t="n"/>
    </row>
    <row r="244">
      <c r="A244" s="21">
        <f>IF(B244="","",ROW()-4)</f>
        <v/>
      </c>
      <c r="B244" s="7" t="n"/>
      <c r="C244" s="22">
        <f>IF(B244="","",IFERROR(VLOOKUP(B244,'Guest Directory'!$A$5:$B$304,2,FALSE),""))</f>
        <v/>
      </c>
      <c r="D244" s="7" t="n"/>
    </row>
    <row r="245">
      <c r="A245" s="21">
        <f>IF(B245="","",ROW()-4)</f>
        <v/>
      </c>
      <c r="B245" s="7" t="n"/>
      <c r="C245" s="22">
        <f>IF(B245="","",IFERROR(VLOOKUP(B245,'Guest Directory'!$A$5:$B$304,2,FALSE),""))</f>
        <v/>
      </c>
      <c r="D245" s="7" t="n"/>
    </row>
    <row r="246">
      <c r="A246" s="21">
        <f>IF(B246="","",ROW()-4)</f>
        <v/>
      </c>
      <c r="B246" s="7" t="n"/>
      <c r="C246" s="22">
        <f>IF(B246="","",IFERROR(VLOOKUP(B246,'Guest Directory'!$A$5:$B$304,2,FALSE),""))</f>
        <v/>
      </c>
      <c r="D246" s="7" t="n"/>
    </row>
    <row r="247">
      <c r="A247" s="21">
        <f>IF(B247="","",ROW()-4)</f>
        <v/>
      </c>
      <c r="B247" s="7" t="n"/>
      <c r="C247" s="22">
        <f>IF(B247="","",IFERROR(VLOOKUP(B247,'Guest Directory'!$A$5:$B$304,2,FALSE),""))</f>
        <v/>
      </c>
      <c r="D247" s="7" t="n"/>
    </row>
    <row r="248">
      <c r="A248" s="21">
        <f>IF(B248="","",ROW()-4)</f>
        <v/>
      </c>
      <c r="B248" s="7" t="n"/>
      <c r="C248" s="22">
        <f>IF(B248="","",IFERROR(VLOOKUP(B248,'Guest Directory'!$A$5:$B$304,2,FALSE),""))</f>
        <v/>
      </c>
      <c r="D248" s="7" t="n"/>
    </row>
    <row r="249">
      <c r="A249" s="21">
        <f>IF(B249="","",ROW()-4)</f>
        <v/>
      </c>
      <c r="B249" s="7" t="n"/>
      <c r="C249" s="22">
        <f>IF(B249="","",IFERROR(VLOOKUP(B249,'Guest Directory'!$A$5:$B$304,2,FALSE),""))</f>
        <v/>
      </c>
      <c r="D249" s="7" t="n"/>
    </row>
    <row r="250">
      <c r="A250" s="21">
        <f>IF(B250="","",ROW()-4)</f>
        <v/>
      </c>
      <c r="B250" s="7" t="n"/>
      <c r="C250" s="22">
        <f>IF(B250="","",IFERROR(VLOOKUP(B250,'Guest Directory'!$A$5:$B$304,2,FALSE),""))</f>
        <v/>
      </c>
      <c r="D250" s="7" t="n"/>
    </row>
    <row r="251">
      <c r="A251" s="21">
        <f>IF(B251="","",ROW()-4)</f>
        <v/>
      </c>
      <c r="B251" s="7" t="n"/>
      <c r="C251" s="22">
        <f>IF(B251="","",IFERROR(VLOOKUP(B251,'Guest Directory'!$A$5:$B$304,2,FALSE),""))</f>
        <v/>
      </c>
      <c r="D251" s="7" t="n"/>
    </row>
    <row r="252">
      <c r="A252" s="21">
        <f>IF(B252="","",ROW()-4)</f>
        <v/>
      </c>
      <c r="B252" s="7" t="n"/>
      <c r="C252" s="22">
        <f>IF(B252="","",IFERROR(VLOOKUP(B252,'Guest Directory'!$A$5:$B$304,2,FALSE),""))</f>
        <v/>
      </c>
      <c r="D252" s="7" t="n"/>
    </row>
    <row r="253">
      <c r="A253" s="21">
        <f>IF(B253="","",ROW()-4)</f>
        <v/>
      </c>
      <c r="B253" s="7" t="n"/>
      <c r="C253" s="22">
        <f>IF(B253="","",IFERROR(VLOOKUP(B253,'Guest Directory'!$A$5:$B$304,2,FALSE),""))</f>
        <v/>
      </c>
      <c r="D253" s="7" t="n"/>
    </row>
    <row r="254">
      <c r="A254" s="21">
        <f>IF(B254="","",ROW()-4)</f>
        <v/>
      </c>
      <c r="B254" s="7" t="n"/>
      <c r="C254" s="22">
        <f>IF(B254="","",IFERROR(VLOOKUP(B254,'Guest Directory'!$A$5:$B$304,2,FALSE),""))</f>
        <v/>
      </c>
      <c r="D254" s="7" t="n"/>
    </row>
    <row r="255">
      <c r="A255" s="21">
        <f>IF(B255="","",ROW()-4)</f>
        <v/>
      </c>
      <c r="B255" s="7" t="n"/>
      <c r="C255" s="22">
        <f>IF(B255="","",IFERROR(VLOOKUP(B255,'Guest Directory'!$A$5:$B$304,2,FALSE),""))</f>
        <v/>
      </c>
      <c r="D255" s="7" t="n"/>
    </row>
    <row r="256">
      <c r="A256" s="21">
        <f>IF(B256="","",ROW()-4)</f>
        <v/>
      </c>
      <c r="B256" s="7" t="n"/>
      <c r="C256" s="22">
        <f>IF(B256="","",IFERROR(VLOOKUP(B256,'Guest Directory'!$A$5:$B$304,2,FALSE),""))</f>
        <v/>
      </c>
      <c r="D256" s="7" t="n"/>
    </row>
    <row r="257">
      <c r="A257" s="21">
        <f>IF(B257="","",ROW()-4)</f>
        <v/>
      </c>
      <c r="B257" s="7" t="n"/>
      <c r="C257" s="22">
        <f>IF(B257="","",IFERROR(VLOOKUP(B257,'Guest Directory'!$A$5:$B$304,2,FALSE),""))</f>
        <v/>
      </c>
      <c r="D257" s="7" t="n"/>
    </row>
    <row r="258">
      <c r="A258" s="21">
        <f>IF(B258="","",ROW()-4)</f>
        <v/>
      </c>
      <c r="B258" s="7" t="n"/>
      <c r="C258" s="22">
        <f>IF(B258="","",IFERROR(VLOOKUP(B258,'Guest Directory'!$A$5:$B$304,2,FALSE),""))</f>
        <v/>
      </c>
      <c r="D258" s="7" t="n"/>
    </row>
    <row r="259">
      <c r="A259" s="21">
        <f>IF(B259="","",ROW()-4)</f>
        <v/>
      </c>
      <c r="B259" s="7" t="n"/>
      <c r="C259" s="22">
        <f>IF(B259="","",IFERROR(VLOOKUP(B259,'Guest Directory'!$A$5:$B$304,2,FALSE),""))</f>
        <v/>
      </c>
      <c r="D259" s="7" t="n"/>
    </row>
    <row r="260">
      <c r="A260" s="21">
        <f>IF(B260="","",ROW()-4)</f>
        <v/>
      </c>
      <c r="B260" s="7" t="n"/>
      <c r="C260" s="22">
        <f>IF(B260="","",IFERROR(VLOOKUP(B260,'Guest Directory'!$A$5:$B$304,2,FALSE),""))</f>
        <v/>
      </c>
      <c r="D260" s="7" t="n"/>
    </row>
    <row r="261">
      <c r="A261" s="21">
        <f>IF(B261="","",ROW()-4)</f>
        <v/>
      </c>
      <c r="B261" s="7" t="n"/>
      <c r="C261" s="22">
        <f>IF(B261="","",IFERROR(VLOOKUP(B261,'Guest Directory'!$A$5:$B$304,2,FALSE),""))</f>
        <v/>
      </c>
      <c r="D261" s="7" t="n"/>
    </row>
    <row r="262">
      <c r="A262" s="21">
        <f>IF(B262="","",ROW()-4)</f>
        <v/>
      </c>
      <c r="B262" s="7" t="n"/>
      <c r="C262" s="22">
        <f>IF(B262="","",IFERROR(VLOOKUP(B262,'Guest Directory'!$A$5:$B$304,2,FALSE),""))</f>
        <v/>
      </c>
      <c r="D262" s="7" t="n"/>
    </row>
    <row r="263">
      <c r="A263" s="21">
        <f>IF(B263="","",ROW()-4)</f>
        <v/>
      </c>
      <c r="B263" s="7" t="n"/>
      <c r="C263" s="22">
        <f>IF(B263="","",IFERROR(VLOOKUP(B263,'Guest Directory'!$A$5:$B$304,2,FALSE),""))</f>
        <v/>
      </c>
      <c r="D263" s="7" t="n"/>
    </row>
    <row r="264">
      <c r="A264" s="21">
        <f>IF(B264="","",ROW()-4)</f>
        <v/>
      </c>
      <c r="B264" s="7" t="n"/>
      <c r="C264" s="22">
        <f>IF(B264="","",IFERROR(VLOOKUP(B264,'Guest Directory'!$A$5:$B$304,2,FALSE),""))</f>
        <v/>
      </c>
      <c r="D264" s="7" t="n"/>
    </row>
    <row r="265">
      <c r="A265" s="21">
        <f>IF(B265="","",ROW()-4)</f>
        <v/>
      </c>
      <c r="B265" s="7" t="n"/>
      <c r="C265" s="22">
        <f>IF(B265="","",IFERROR(VLOOKUP(B265,'Guest Directory'!$A$5:$B$304,2,FALSE),""))</f>
        <v/>
      </c>
      <c r="D265" s="7" t="n"/>
    </row>
    <row r="266">
      <c r="A266" s="21">
        <f>IF(B266="","",ROW()-4)</f>
        <v/>
      </c>
      <c r="B266" s="7" t="n"/>
      <c r="C266" s="22">
        <f>IF(B266="","",IFERROR(VLOOKUP(B266,'Guest Directory'!$A$5:$B$304,2,FALSE),""))</f>
        <v/>
      </c>
      <c r="D266" s="7" t="n"/>
    </row>
    <row r="267">
      <c r="A267" s="21">
        <f>IF(B267="","",ROW()-4)</f>
        <v/>
      </c>
      <c r="B267" s="7" t="n"/>
      <c r="C267" s="22">
        <f>IF(B267="","",IFERROR(VLOOKUP(B267,'Guest Directory'!$A$5:$B$304,2,FALSE),""))</f>
        <v/>
      </c>
      <c r="D267" s="7" t="n"/>
    </row>
    <row r="268">
      <c r="A268" s="21">
        <f>IF(B268="","",ROW()-4)</f>
        <v/>
      </c>
      <c r="B268" s="7" t="n"/>
      <c r="C268" s="22">
        <f>IF(B268="","",IFERROR(VLOOKUP(B268,'Guest Directory'!$A$5:$B$304,2,FALSE),""))</f>
        <v/>
      </c>
      <c r="D268" s="7" t="n"/>
    </row>
    <row r="269">
      <c r="A269" s="21">
        <f>IF(B269="","",ROW()-4)</f>
        <v/>
      </c>
      <c r="B269" s="7" t="n"/>
      <c r="C269" s="22">
        <f>IF(B269="","",IFERROR(VLOOKUP(B269,'Guest Directory'!$A$5:$B$304,2,FALSE),""))</f>
        <v/>
      </c>
      <c r="D269" s="7" t="n"/>
    </row>
    <row r="270">
      <c r="A270" s="21">
        <f>IF(B270="","",ROW()-4)</f>
        <v/>
      </c>
      <c r="B270" s="7" t="n"/>
      <c r="C270" s="22">
        <f>IF(B270="","",IFERROR(VLOOKUP(B270,'Guest Directory'!$A$5:$B$304,2,FALSE),""))</f>
        <v/>
      </c>
      <c r="D270" s="7" t="n"/>
    </row>
    <row r="271">
      <c r="A271" s="21">
        <f>IF(B271="","",ROW()-4)</f>
        <v/>
      </c>
      <c r="B271" s="7" t="n"/>
      <c r="C271" s="22">
        <f>IF(B271="","",IFERROR(VLOOKUP(B271,'Guest Directory'!$A$5:$B$304,2,FALSE),""))</f>
        <v/>
      </c>
      <c r="D271" s="7" t="n"/>
    </row>
    <row r="272">
      <c r="A272" s="21">
        <f>IF(B272="","",ROW()-4)</f>
        <v/>
      </c>
      <c r="B272" s="7" t="n"/>
      <c r="C272" s="22">
        <f>IF(B272="","",IFERROR(VLOOKUP(B272,'Guest Directory'!$A$5:$B$304,2,FALSE),""))</f>
        <v/>
      </c>
      <c r="D272" s="7" t="n"/>
    </row>
    <row r="273">
      <c r="A273" s="21">
        <f>IF(B273="","",ROW()-4)</f>
        <v/>
      </c>
      <c r="B273" s="7" t="n"/>
      <c r="C273" s="22">
        <f>IF(B273="","",IFERROR(VLOOKUP(B273,'Guest Directory'!$A$5:$B$304,2,FALSE),""))</f>
        <v/>
      </c>
      <c r="D273" s="7" t="n"/>
    </row>
    <row r="274">
      <c r="A274" s="21">
        <f>IF(B274="","",ROW()-4)</f>
        <v/>
      </c>
      <c r="B274" s="7" t="n"/>
      <c r="C274" s="22">
        <f>IF(B274="","",IFERROR(VLOOKUP(B274,'Guest Directory'!$A$5:$B$304,2,FALSE),""))</f>
        <v/>
      </c>
      <c r="D274" s="7" t="n"/>
    </row>
    <row r="275">
      <c r="A275" s="21">
        <f>IF(B275="","",ROW()-4)</f>
        <v/>
      </c>
      <c r="B275" s="7" t="n"/>
      <c r="C275" s="22">
        <f>IF(B275="","",IFERROR(VLOOKUP(B275,'Guest Directory'!$A$5:$B$304,2,FALSE),""))</f>
        <v/>
      </c>
      <c r="D275" s="7" t="n"/>
    </row>
    <row r="276">
      <c r="A276" s="21">
        <f>IF(B276="","",ROW()-4)</f>
        <v/>
      </c>
      <c r="B276" s="7" t="n"/>
      <c r="C276" s="22">
        <f>IF(B276="","",IFERROR(VLOOKUP(B276,'Guest Directory'!$A$5:$B$304,2,FALSE),""))</f>
        <v/>
      </c>
      <c r="D276" s="7" t="n"/>
    </row>
    <row r="277">
      <c r="A277" s="21">
        <f>IF(B277="","",ROW()-4)</f>
        <v/>
      </c>
      <c r="B277" s="7" t="n"/>
      <c r="C277" s="22">
        <f>IF(B277="","",IFERROR(VLOOKUP(B277,'Guest Directory'!$A$5:$B$304,2,FALSE),""))</f>
        <v/>
      </c>
      <c r="D277" s="7" t="n"/>
    </row>
    <row r="278">
      <c r="A278" s="21">
        <f>IF(B278="","",ROW()-4)</f>
        <v/>
      </c>
      <c r="B278" s="7" t="n"/>
      <c r="C278" s="22">
        <f>IF(B278="","",IFERROR(VLOOKUP(B278,'Guest Directory'!$A$5:$B$304,2,FALSE),""))</f>
        <v/>
      </c>
      <c r="D278" s="7" t="n"/>
    </row>
    <row r="279">
      <c r="A279" s="21">
        <f>IF(B279="","",ROW()-4)</f>
        <v/>
      </c>
      <c r="B279" s="7" t="n"/>
      <c r="C279" s="22">
        <f>IF(B279="","",IFERROR(VLOOKUP(B279,'Guest Directory'!$A$5:$B$304,2,FALSE),""))</f>
        <v/>
      </c>
      <c r="D279" s="7" t="n"/>
    </row>
    <row r="280">
      <c r="A280" s="21">
        <f>IF(B280="","",ROW()-4)</f>
        <v/>
      </c>
      <c r="B280" s="7" t="n"/>
      <c r="C280" s="22">
        <f>IF(B280="","",IFERROR(VLOOKUP(B280,'Guest Directory'!$A$5:$B$304,2,FALSE),""))</f>
        <v/>
      </c>
      <c r="D280" s="7" t="n"/>
    </row>
    <row r="281">
      <c r="A281" s="21">
        <f>IF(B281="","",ROW()-4)</f>
        <v/>
      </c>
      <c r="B281" s="7" t="n"/>
      <c r="C281" s="22">
        <f>IF(B281="","",IFERROR(VLOOKUP(B281,'Guest Directory'!$A$5:$B$304,2,FALSE),""))</f>
        <v/>
      </c>
      <c r="D281" s="7" t="n"/>
    </row>
    <row r="282">
      <c r="A282" s="21">
        <f>IF(B282="","",ROW()-4)</f>
        <v/>
      </c>
      <c r="B282" s="7" t="n"/>
      <c r="C282" s="22">
        <f>IF(B282="","",IFERROR(VLOOKUP(B282,'Guest Directory'!$A$5:$B$304,2,FALSE),""))</f>
        <v/>
      </c>
      <c r="D282" s="7" t="n"/>
    </row>
    <row r="283">
      <c r="A283" s="21">
        <f>IF(B283="","",ROW()-4)</f>
        <v/>
      </c>
      <c r="B283" s="7" t="n"/>
      <c r="C283" s="22">
        <f>IF(B283="","",IFERROR(VLOOKUP(B283,'Guest Directory'!$A$5:$B$304,2,FALSE),""))</f>
        <v/>
      </c>
      <c r="D283" s="7" t="n"/>
    </row>
    <row r="284">
      <c r="A284" s="21">
        <f>IF(B284="","",ROW()-4)</f>
        <v/>
      </c>
      <c r="B284" s="7" t="n"/>
      <c r="C284" s="22">
        <f>IF(B284="","",IFERROR(VLOOKUP(B284,'Guest Directory'!$A$5:$B$304,2,FALSE),""))</f>
        <v/>
      </c>
      <c r="D284" s="7" t="n"/>
    </row>
    <row r="285">
      <c r="A285" s="21">
        <f>IF(B285="","",ROW()-4)</f>
        <v/>
      </c>
      <c r="B285" s="7" t="n"/>
      <c r="C285" s="22">
        <f>IF(B285="","",IFERROR(VLOOKUP(B285,'Guest Directory'!$A$5:$B$304,2,FALSE),""))</f>
        <v/>
      </c>
      <c r="D285" s="7" t="n"/>
    </row>
    <row r="286">
      <c r="A286" s="21">
        <f>IF(B286="","",ROW()-4)</f>
        <v/>
      </c>
      <c r="B286" s="7" t="n"/>
      <c r="C286" s="22">
        <f>IF(B286="","",IFERROR(VLOOKUP(B286,'Guest Directory'!$A$5:$B$304,2,FALSE),""))</f>
        <v/>
      </c>
      <c r="D286" s="7" t="n"/>
    </row>
    <row r="287">
      <c r="A287" s="21">
        <f>IF(B287="","",ROW()-4)</f>
        <v/>
      </c>
      <c r="B287" s="7" t="n"/>
      <c r="C287" s="22">
        <f>IF(B287="","",IFERROR(VLOOKUP(B287,'Guest Directory'!$A$5:$B$304,2,FALSE),""))</f>
        <v/>
      </c>
      <c r="D287" s="7" t="n"/>
    </row>
    <row r="288">
      <c r="A288" s="21">
        <f>IF(B288="","",ROW()-4)</f>
        <v/>
      </c>
      <c r="B288" s="7" t="n"/>
      <c r="C288" s="22">
        <f>IF(B288="","",IFERROR(VLOOKUP(B288,'Guest Directory'!$A$5:$B$304,2,FALSE),""))</f>
        <v/>
      </c>
      <c r="D288" s="7" t="n"/>
    </row>
    <row r="289">
      <c r="A289" s="21">
        <f>IF(B289="","",ROW()-4)</f>
        <v/>
      </c>
      <c r="B289" s="7" t="n"/>
      <c r="C289" s="22">
        <f>IF(B289="","",IFERROR(VLOOKUP(B289,'Guest Directory'!$A$5:$B$304,2,FALSE),""))</f>
        <v/>
      </c>
      <c r="D289" s="7" t="n"/>
    </row>
    <row r="290">
      <c r="A290" s="21">
        <f>IF(B290="","",ROW()-4)</f>
        <v/>
      </c>
      <c r="B290" s="7" t="n"/>
      <c r="C290" s="22">
        <f>IF(B290="","",IFERROR(VLOOKUP(B290,'Guest Directory'!$A$5:$B$304,2,FALSE),""))</f>
        <v/>
      </c>
      <c r="D290" s="7" t="n"/>
    </row>
    <row r="291">
      <c r="A291" s="21">
        <f>IF(B291="","",ROW()-4)</f>
        <v/>
      </c>
      <c r="B291" s="7" t="n"/>
      <c r="C291" s="22">
        <f>IF(B291="","",IFERROR(VLOOKUP(B291,'Guest Directory'!$A$5:$B$304,2,FALSE),""))</f>
        <v/>
      </c>
      <c r="D291" s="7" t="n"/>
    </row>
    <row r="292">
      <c r="A292" s="21">
        <f>IF(B292="","",ROW()-4)</f>
        <v/>
      </c>
      <c r="B292" s="7" t="n"/>
      <c r="C292" s="22">
        <f>IF(B292="","",IFERROR(VLOOKUP(B292,'Guest Directory'!$A$5:$B$304,2,FALSE),""))</f>
        <v/>
      </c>
      <c r="D292" s="7" t="n"/>
    </row>
    <row r="293">
      <c r="A293" s="21">
        <f>IF(B293="","",ROW()-4)</f>
        <v/>
      </c>
      <c r="B293" s="7" t="n"/>
      <c r="C293" s="22">
        <f>IF(B293="","",IFERROR(VLOOKUP(B293,'Guest Directory'!$A$5:$B$304,2,FALSE),""))</f>
        <v/>
      </c>
      <c r="D293" s="7" t="n"/>
    </row>
    <row r="294">
      <c r="A294" s="21">
        <f>IF(B294="","",ROW()-4)</f>
        <v/>
      </c>
      <c r="B294" s="7" t="n"/>
      <c r="C294" s="22">
        <f>IF(B294="","",IFERROR(VLOOKUP(B294,'Guest Directory'!$A$5:$B$304,2,FALSE),""))</f>
        <v/>
      </c>
      <c r="D294" s="7" t="n"/>
    </row>
    <row r="295">
      <c r="A295" s="21">
        <f>IF(B295="","",ROW()-4)</f>
        <v/>
      </c>
      <c r="B295" s="7" t="n"/>
      <c r="C295" s="22">
        <f>IF(B295="","",IFERROR(VLOOKUP(B295,'Guest Directory'!$A$5:$B$304,2,FALSE),""))</f>
        <v/>
      </c>
      <c r="D295" s="7" t="n"/>
    </row>
    <row r="296">
      <c r="A296" s="21">
        <f>IF(B296="","",ROW()-4)</f>
        <v/>
      </c>
      <c r="B296" s="7" t="n"/>
      <c r="C296" s="22">
        <f>IF(B296="","",IFERROR(VLOOKUP(B296,'Guest Directory'!$A$5:$B$304,2,FALSE),""))</f>
        <v/>
      </c>
      <c r="D296" s="7" t="n"/>
    </row>
    <row r="297">
      <c r="A297" s="21">
        <f>IF(B297="","",ROW()-4)</f>
        <v/>
      </c>
      <c r="B297" s="7" t="n"/>
      <c r="C297" s="22">
        <f>IF(B297="","",IFERROR(VLOOKUP(B297,'Guest Directory'!$A$5:$B$304,2,FALSE),""))</f>
        <v/>
      </c>
      <c r="D297" s="7" t="n"/>
    </row>
    <row r="298">
      <c r="A298" s="21">
        <f>IF(B298="","",ROW()-4)</f>
        <v/>
      </c>
      <c r="B298" s="7" t="n"/>
      <c r="C298" s="22">
        <f>IF(B298="","",IFERROR(VLOOKUP(B298,'Guest Directory'!$A$5:$B$304,2,FALSE),""))</f>
        <v/>
      </c>
      <c r="D298" s="7" t="n"/>
    </row>
    <row r="299">
      <c r="A299" s="21">
        <f>IF(B299="","",ROW()-4)</f>
        <v/>
      </c>
      <c r="B299" s="7" t="n"/>
      <c r="C299" s="22">
        <f>IF(B299="","",IFERROR(VLOOKUP(B299,'Guest Directory'!$A$5:$B$304,2,FALSE),""))</f>
        <v/>
      </c>
      <c r="D299" s="7" t="n"/>
    </row>
    <row r="300">
      <c r="A300" s="21">
        <f>IF(B300="","",ROW()-4)</f>
        <v/>
      </c>
      <c r="B300" s="7" t="n"/>
      <c r="C300" s="22">
        <f>IF(B300="","",IFERROR(VLOOKUP(B300,'Guest Directory'!$A$5:$B$304,2,FALSE),""))</f>
        <v/>
      </c>
      <c r="D300" s="7" t="n"/>
    </row>
    <row r="301">
      <c r="A301" s="21">
        <f>IF(B301="","",ROW()-4)</f>
        <v/>
      </c>
      <c r="B301" s="7" t="n"/>
      <c r="C301" s="22">
        <f>IF(B301="","",IFERROR(VLOOKUP(B301,'Guest Directory'!$A$5:$B$304,2,FALSE),""))</f>
        <v/>
      </c>
      <c r="D301" s="7" t="n"/>
    </row>
    <row r="302">
      <c r="A302" s="21">
        <f>IF(B302="","",ROW()-4)</f>
        <v/>
      </c>
      <c r="B302" s="7" t="n"/>
      <c r="C302" s="22">
        <f>IF(B302="","",IFERROR(VLOOKUP(B302,'Guest Directory'!$A$5:$B$304,2,FALSE),""))</f>
        <v/>
      </c>
      <c r="D302" s="7" t="n"/>
    </row>
    <row r="303">
      <c r="A303" s="21">
        <f>IF(B303="","",ROW()-4)</f>
        <v/>
      </c>
      <c r="B303" s="7" t="n"/>
      <c r="C303" s="22">
        <f>IF(B303="","",IFERROR(VLOOKUP(B303,'Guest Directory'!$A$5:$B$304,2,FALSE),""))</f>
        <v/>
      </c>
      <c r="D303" s="7" t="n"/>
    </row>
    <row r="304">
      <c r="A304" s="21">
        <f>IF(B304="","",ROW()-4)</f>
        <v/>
      </c>
      <c r="B304" s="7" t="n"/>
      <c r="C304" s="22">
        <f>IF(B304="","",IFERROR(VLOOKUP(B304,'Guest Directory'!$A$5:$B$304,2,FALSE),""))</f>
        <v/>
      </c>
      <c r="D304" s="7" t="n"/>
    </row>
  </sheetData>
  <conditionalFormatting sqref="C5:C304">
    <cfRule type="cellIs" priority="1" operator="lessThan" dxfId="0">
      <formula>0</formula>
    </cfRule>
  </conditionalFormatting>
  <dataValidations count="2">
    <dataValidation sqref="B5:B304" showDropDown="0" showInputMessage="1" showErrorMessage="0" allowBlank="1" promptTitle="Choose or type a guest" prompt="Choose a shared guest, or type a new name. Add new shared names to Guest Directory." type="list">
      <formula1>=GuestDirectoryNames</formula1>
    </dataValidation>
    <dataValidation sqref="C5:C304" showDropDown="0" showInputMessage="1" showErrorMessage="1" allowBlank="1" errorTitle="Whole numbers only" error="Use a whole number from 0 to 999." promptTitle="Enter a headcount" prompt="Enter a whole number from 0 to 999." type="whole" operator="between">
      <formula1>0</formula1>
      <formula2>999</formula2>
    </dataValidation>
  </dataValidations>
  <pageMargins left="0.75" right="0.75" top="1" bottom="1" header="0.5" footer="0.5"/>
  <pageSetup orientation="landscape" fitToWidth="1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tabColor rgb="0070AD47"/>
    <outlinePr summaryBelow="1" summaryRight="1"/>
    <pageSetUpPr fitToPage="1"/>
  </sheetPr>
  <dimension ref="A1:G304"/>
  <sheetViews>
    <sheetView zoomScale="9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38" customWidth="1" min="2" max="2"/>
    <col width="34" customWidth="1" min="3" max="3"/>
    <col width="32" customWidth="1" min="4" max="4"/>
    <col width="3" customWidth="1" min="5" max="5"/>
    <col width="26" customWidth="1" min="6" max="6"/>
    <col width="15" customWidth="1" min="7" max="7"/>
  </cols>
  <sheetData>
    <row r="1" ht="27" customHeight="1">
      <c r="A1" s="14" t="inlineStr">
        <is>
          <t>Ganpati Stapna Guest List</t>
        </is>
      </c>
    </row>
    <row r="2">
      <c r="A2" s="15" t="inlineStr">
        <is>
          <t>Pick an existing name from the dropdown or type a new name. The headcount fills from Guest Directory when available and remains editable.</t>
        </is>
      </c>
      <c r="F2" s="18" t="inlineStr">
        <is>
          <t>Guest entries</t>
        </is>
      </c>
      <c r="G2" s="19">
        <f>COUNTIF(B5:B304,"?*")</f>
        <v/>
      </c>
    </row>
    <row r="3">
      <c r="A3" s="16">
        <f>HYPERLINK("#Summary!A1","← Back to Summary")</f>
        <v/>
      </c>
      <c r="F3" s="18" t="inlineStr">
        <is>
          <t>Total guests</t>
        </is>
      </c>
      <c r="G3" s="19">
        <f>SUM(C5:C304)</f>
        <v/>
      </c>
    </row>
    <row r="4" ht="34" customHeight="1">
      <c r="A4" s="6" t="inlineStr">
        <is>
          <t>S.No</t>
        </is>
      </c>
      <c r="B4" s="6" t="inlineStr">
        <is>
          <t>Guest Name</t>
        </is>
      </c>
      <c r="C4" s="6" t="inlineStr">
        <is>
          <t>Family Members / Total People</t>
        </is>
      </c>
      <c r="D4" s="6" t="inlineStr">
        <is>
          <t>Notes</t>
        </is>
      </c>
      <c r="F4" s="20" t="inlineStr">
        <is>
          <t>Count each party exactly as you want it included in the total.</t>
        </is>
      </c>
    </row>
    <row r="5">
      <c r="A5" s="21">
        <f>IF(B5="","",ROW()-4)</f>
        <v/>
      </c>
      <c r="B5" s="7" t="n"/>
      <c r="C5" s="22">
        <f>IF(B5="","",IFERROR(VLOOKUP(B5,'Guest Directory'!$A$5:$B$304,2,FALSE),""))</f>
        <v/>
      </c>
      <c r="D5" s="7" t="n"/>
    </row>
    <row r="6">
      <c r="A6" s="21">
        <f>IF(B6="","",ROW()-4)</f>
        <v/>
      </c>
      <c r="B6" s="7" t="n"/>
      <c r="C6" s="22">
        <f>IF(B6="","",IFERROR(VLOOKUP(B6,'Guest Directory'!$A$5:$B$304,2,FALSE),""))</f>
        <v/>
      </c>
      <c r="D6" s="7" t="n"/>
    </row>
    <row r="7">
      <c r="A7" s="21">
        <f>IF(B7="","",ROW()-4)</f>
        <v/>
      </c>
      <c r="B7" s="7" t="n"/>
      <c r="C7" s="22">
        <f>IF(B7="","",IFERROR(VLOOKUP(B7,'Guest Directory'!$A$5:$B$304,2,FALSE),""))</f>
        <v/>
      </c>
      <c r="D7" s="7" t="n"/>
    </row>
    <row r="8">
      <c r="A8" s="21">
        <f>IF(B8="","",ROW()-4)</f>
        <v/>
      </c>
      <c r="B8" s="7" t="n"/>
      <c r="C8" s="22">
        <f>IF(B8="","",IFERROR(VLOOKUP(B8,'Guest Directory'!$A$5:$B$304,2,FALSE),""))</f>
        <v/>
      </c>
      <c r="D8" s="7" t="n"/>
    </row>
    <row r="9">
      <c r="A9" s="21">
        <f>IF(B9="","",ROW()-4)</f>
        <v/>
      </c>
      <c r="B9" s="7" t="n"/>
      <c r="C9" s="22">
        <f>IF(B9="","",IFERROR(VLOOKUP(B9,'Guest Directory'!$A$5:$B$304,2,FALSE),""))</f>
        <v/>
      </c>
      <c r="D9" s="7" t="n"/>
    </row>
    <row r="10">
      <c r="A10" s="21">
        <f>IF(B10="","",ROW()-4)</f>
        <v/>
      </c>
      <c r="B10" s="7" t="n"/>
      <c r="C10" s="22">
        <f>IF(B10="","",IFERROR(VLOOKUP(B10,'Guest Directory'!$A$5:$B$304,2,FALSE),""))</f>
        <v/>
      </c>
      <c r="D10" s="7" t="n"/>
    </row>
    <row r="11">
      <c r="A11" s="21">
        <f>IF(B11="","",ROW()-4)</f>
        <v/>
      </c>
      <c r="B11" s="7" t="n"/>
      <c r="C11" s="22">
        <f>IF(B11="","",IFERROR(VLOOKUP(B11,'Guest Directory'!$A$5:$B$304,2,FALSE),""))</f>
        <v/>
      </c>
      <c r="D11" s="7" t="n"/>
    </row>
    <row r="12">
      <c r="A12" s="21">
        <f>IF(B12="","",ROW()-4)</f>
        <v/>
      </c>
      <c r="B12" s="7" t="n"/>
      <c r="C12" s="22">
        <f>IF(B12="","",IFERROR(VLOOKUP(B12,'Guest Directory'!$A$5:$B$304,2,FALSE),""))</f>
        <v/>
      </c>
      <c r="D12" s="7" t="n"/>
    </row>
    <row r="13">
      <c r="A13" s="21">
        <f>IF(B13="","",ROW()-4)</f>
        <v/>
      </c>
      <c r="B13" s="7" t="n"/>
      <c r="C13" s="22">
        <f>IF(B13="","",IFERROR(VLOOKUP(B13,'Guest Directory'!$A$5:$B$304,2,FALSE),""))</f>
        <v/>
      </c>
      <c r="D13" s="7" t="n"/>
    </row>
    <row r="14">
      <c r="A14" s="21">
        <f>IF(B14="","",ROW()-4)</f>
        <v/>
      </c>
      <c r="B14" s="7" t="n"/>
      <c r="C14" s="22">
        <f>IF(B14="","",IFERROR(VLOOKUP(B14,'Guest Directory'!$A$5:$B$304,2,FALSE),""))</f>
        <v/>
      </c>
      <c r="D14" s="7" t="n"/>
    </row>
    <row r="15">
      <c r="A15" s="21">
        <f>IF(B15="","",ROW()-4)</f>
        <v/>
      </c>
      <c r="B15" s="7" t="n"/>
      <c r="C15" s="22">
        <f>IF(B15="","",IFERROR(VLOOKUP(B15,'Guest Directory'!$A$5:$B$304,2,FALSE),""))</f>
        <v/>
      </c>
      <c r="D15" s="7" t="n"/>
    </row>
    <row r="16">
      <c r="A16" s="21">
        <f>IF(B16="","",ROW()-4)</f>
        <v/>
      </c>
      <c r="B16" s="7" t="n"/>
      <c r="C16" s="22">
        <f>IF(B16="","",IFERROR(VLOOKUP(B16,'Guest Directory'!$A$5:$B$304,2,FALSE),""))</f>
        <v/>
      </c>
      <c r="D16" s="7" t="n"/>
    </row>
    <row r="17">
      <c r="A17" s="21">
        <f>IF(B17="","",ROW()-4)</f>
        <v/>
      </c>
      <c r="B17" s="7" t="n"/>
      <c r="C17" s="22">
        <f>IF(B17="","",IFERROR(VLOOKUP(B17,'Guest Directory'!$A$5:$B$304,2,FALSE),""))</f>
        <v/>
      </c>
      <c r="D17" s="7" t="n"/>
    </row>
    <row r="18">
      <c r="A18" s="21">
        <f>IF(B18="","",ROW()-4)</f>
        <v/>
      </c>
      <c r="B18" s="7" t="n"/>
      <c r="C18" s="22">
        <f>IF(B18="","",IFERROR(VLOOKUP(B18,'Guest Directory'!$A$5:$B$304,2,FALSE),""))</f>
        <v/>
      </c>
      <c r="D18" s="7" t="n"/>
    </row>
    <row r="19">
      <c r="A19" s="21">
        <f>IF(B19="","",ROW()-4)</f>
        <v/>
      </c>
      <c r="B19" s="7" t="n"/>
      <c r="C19" s="22">
        <f>IF(B19="","",IFERROR(VLOOKUP(B19,'Guest Directory'!$A$5:$B$304,2,FALSE),""))</f>
        <v/>
      </c>
      <c r="D19" s="7" t="n"/>
    </row>
    <row r="20">
      <c r="A20" s="21">
        <f>IF(B20="","",ROW()-4)</f>
        <v/>
      </c>
      <c r="B20" s="7" t="n"/>
      <c r="C20" s="22">
        <f>IF(B20="","",IFERROR(VLOOKUP(B20,'Guest Directory'!$A$5:$B$304,2,FALSE),""))</f>
        <v/>
      </c>
      <c r="D20" s="7" t="n"/>
    </row>
    <row r="21">
      <c r="A21" s="21">
        <f>IF(B21="","",ROW()-4)</f>
        <v/>
      </c>
      <c r="B21" s="7" t="n"/>
      <c r="C21" s="22">
        <f>IF(B21="","",IFERROR(VLOOKUP(B21,'Guest Directory'!$A$5:$B$304,2,FALSE),""))</f>
        <v/>
      </c>
      <c r="D21" s="7" t="n"/>
    </row>
    <row r="22">
      <c r="A22" s="21">
        <f>IF(B22="","",ROW()-4)</f>
        <v/>
      </c>
      <c r="B22" s="7" t="n"/>
      <c r="C22" s="22">
        <f>IF(B22="","",IFERROR(VLOOKUP(B22,'Guest Directory'!$A$5:$B$304,2,FALSE),""))</f>
        <v/>
      </c>
      <c r="D22" s="7" t="n"/>
    </row>
    <row r="23">
      <c r="A23" s="21">
        <f>IF(B23="","",ROW()-4)</f>
        <v/>
      </c>
      <c r="B23" s="7" t="n"/>
      <c r="C23" s="22">
        <f>IF(B23="","",IFERROR(VLOOKUP(B23,'Guest Directory'!$A$5:$B$304,2,FALSE),""))</f>
        <v/>
      </c>
      <c r="D23" s="7" t="n"/>
    </row>
    <row r="24">
      <c r="A24" s="21">
        <f>IF(B24="","",ROW()-4)</f>
        <v/>
      </c>
      <c r="B24" s="7" t="n"/>
      <c r="C24" s="22">
        <f>IF(B24="","",IFERROR(VLOOKUP(B24,'Guest Directory'!$A$5:$B$304,2,FALSE),""))</f>
        <v/>
      </c>
      <c r="D24" s="7" t="n"/>
    </row>
    <row r="25">
      <c r="A25" s="21">
        <f>IF(B25="","",ROW()-4)</f>
        <v/>
      </c>
      <c r="B25" s="7" t="n"/>
      <c r="C25" s="22">
        <f>IF(B25="","",IFERROR(VLOOKUP(B25,'Guest Directory'!$A$5:$B$304,2,FALSE),""))</f>
        <v/>
      </c>
      <c r="D25" s="7" t="n"/>
    </row>
    <row r="26">
      <c r="A26" s="21">
        <f>IF(B26="","",ROW()-4)</f>
        <v/>
      </c>
      <c r="B26" s="7" t="n"/>
      <c r="C26" s="22">
        <f>IF(B26="","",IFERROR(VLOOKUP(B26,'Guest Directory'!$A$5:$B$304,2,FALSE),""))</f>
        <v/>
      </c>
      <c r="D26" s="7" t="n"/>
    </row>
    <row r="27">
      <c r="A27" s="21">
        <f>IF(B27="","",ROW()-4)</f>
        <v/>
      </c>
      <c r="B27" s="7" t="n"/>
      <c r="C27" s="22">
        <f>IF(B27="","",IFERROR(VLOOKUP(B27,'Guest Directory'!$A$5:$B$304,2,FALSE),""))</f>
        <v/>
      </c>
      <c r="D27" s="7" t="n"/>
    </row>
    <row r="28">
      <c r="A28" s="21">
        <f>IF(B28="","",ROW()-4)</f>
        <v/>
      </c>
      <c r="B28" s="7" t="n"/>
      <c r="C28" s="22">
        <f>IF(B28="","",IFERROR(VLOOKUP(B28,'Guest Directory'!$A$5:$B$304,2,FALSE),""))</f>
        <v/>
      </c>
      <c r="D28" s="7" t="n"/>
    </row>
    <row r="29">
      <c r="A29" s="21">
        <f>IF(B29="","",ROW()-4)</f>
        <v/>
      </c>
      <c r="B29" s="7" t="n"/>
      <c r="C29" s="22">
        <f>IF(B29="","",IFERROR(VLOOKUP(B29,'Guest Directory'!$A$5:$B$304,2,FALSE),""))</f>
        <v/>
      </c>
      <c r="D29" s="7" t="n"/>
    </row>
    <row r="30">
      <c r="A30" s="21">
        <f>IF(B30="","",ROW()-4)</f>
        <v/>
      </c>
      <c r="B30" s="7" t="n"/>
      <c r="C30" s="22">
        <f>IF(B30="","",IFERROR(VLOOKUP(B30,'Guest Directory'!$A$5:$B$304,2,FALSE),""))</f>
        <v/>
      </c>
      <c r="D30" s="7" t="n"/>
    </row>
    <row r="31">
      <c r="A31" s="21">
        <f>IF(B31="","",ROW()-4)</f>
        <v/>
      </c>
      <c r="B31" s="7" t="n"/>
      <c r="C31" s="22">
        <f>IF(B31="","",IFERROR(VLOOKUP(B31,'Guest Directory'!$A$5:$B$304,2,FALSE),""))</f>
        <v/>
      </c>
      <c r="D31" s="7" t="n"/>
    </row>
    <row r="32">
      <c r="A32" s="21">
        <f>IF(B32="","",ROW()-4)</f>
        <v/>
      </c>
      <c r="B32" s="7" t="n"/>
      <c r="C32" s="22">
        <f>IF(B32="","",IFERROR(VLOOKUP(B32,'Guest Directory'!$A$5:$B$304,2,FALSE),""))</f>
        <v/>
      </c>
      <c r="D32" s="7" t="n"/>
    </row>
    <row r="33">
      <c r="A33" s="21">
        <f>IF(B33="","",ROW()-4)</f>
        <v/>
      </c>
      <c r="B33" s="7" t="n"/>
      <c r="C33" s="22">
        <f>IF(B33="","",IFERROR(VLOOKUP(B33,'Guest Directory'!$A$5:$B$304,2,FALSE),""))</f>
        <v/>
      </c>
      <c r="D33" s="7" t="n"/>
    </row>
    <row r="34">
      <c r="A34" s="21">
        <f>IF(B34="","",ROW()-4)</f>
        <v/>
      </c>
      <c r="B34" s="7" t="n"/>
      <c r="C34" s="22">
        <f>IF(B34="","",IFERROR(VLOOKUP(B34,'Guest Directory'!$A$5:$B$304,2,FALSE),""))</f>
        <v/>
      </c>
      <c r="D34" s="7" t="n"/>
    </row>
    <row r="35">
      <c r="A35" s="21">
        <f>IF(B35="","",ROW()-4)</f>
        <v/>
      </c>
      <c r="B35" s="7" t="n"/>
      <c r="C35" s="22">
        <f>IF(B35="","",IFERROR(VLOOKUP(B35,'Guest Directory'!$A$5:$B$304,2,FALSE),""))</f>
        <v/>
      </c>
      <c r="D35" s="7" t="n"/>
    </row>
    <row r="36">
      <c r="A36" s="21">
        <f>IF(B36="","",ROW()-4)</f>
        <v/>
      </c>
      <c r="B36" s="7" t="n"/>
      <c r="C36" s="22">
        <f>IF(B36="","",IFERROR(VLOOKUP(B36,'Guest Directory'!$A$5:$B$304,2,FALSE),""))</f>
        <v/>
      </c>
      <c r="D36" s="7" t="n"/>
    </row>
    <row r="37">
      <c r="A37" s="21">
        <f>IF(B37="","",ROW()-4)</f>
        <v/>
      </c>
      <c r="B37" s="7" t="n"/>
      <c r="C37" s="22">
        <f>IF(B37="","",IFERROR(VLOOKUP(B37,'Guest Directory'!$A$5:$B$304,2,FALSE),""))</f>
        <v/>
      </c>
      <c r="D37" s="7" t="n"/>
    </row>
    <row r="38">
      <c r="A38" s="21">
        <f>IF(B38="","",ROW()-4)</f>
        <v/>
      </c>
      <c r="B38" s="7" t="n"/>
      <c r="C38" s="22">
        <f>IF(B38="","",IFERROR(VLOOKUP(B38,'Guest Directory'!$A$5:$B$304,2,FALSE),""))</f>
        <v/>
      </c>
      <c r="D38" s="7" t="n"/>
    </row>
    <row r="39">
      <c r="A39" s="21">
        <f>IF(B39="","",ROW()-4)</f>
        <v/>
      </c>
      <c r="B39" s="7" t="n"/>
      <c r="C39" s="22">
        <f>IF(B39="","",IFERROR(VLOOKUP(B39,'Guest Directory'!$A$5:$B$304,2,FALSE),""))</f>
        <v/>
      </c>
      <c r="D39" s="7" t="n"/>
    </row>
    <row r="40">
      <c r="A40" s="21">
        <f>IF(B40="","",ROW()-4)</f>
        <v/>
      </c>
      <c r="B40" s="7" t="n"/>
      <c r="C40" s="22">
        <f>IF(B40="","",IFERROR(VLOOKUP(B40,'Guest Directory'!$A$5:$B$304,2,FALSE),""))</f>
        <v/>
      </c>
      <c r="D40" s="7" t="n"/>
    </row>
    <row r="41">
      <c r="A41" s="21">
        <f>IF(B41="","",ROW()-4)</f>
        <v/>
      </c>
      <c r="B41" s="7" t="n"/>
      <c r="C41" s="22">
        <f>IF(B41="","",IFERROR(VLOOKUP(B41,'Guest Directory'!$A$5:$B$304,2,FALSE),""))</f>
        <v/>
      </c>
      <c r="D41" s="7" t="n"/>
    </row>
    <row r="42">
      <c r="A42" s="21">
        <f>IF(B42="","",ROW()-4)</f>
        <v/>
      </c>
      <c r="B42" s="7" t="n"/>
      <c r="C42" s="22">
        <f>IF(B42="","",IFERROR(VLOOKUP(B42,'Guest Directory'!$A$5:$B$304,2,FALSE),""))</f>
        <v/>
      </c>
      <c r="D42" s="7" t="n"/>
    </row>
    <row r="43">
      <c r="A43" s="21">
        <f>IF(B43="","",ROW()-4)</f>
        <v/>
      </c>
      <c r="B43" s="7" t="n"/>
      <c r="C43" s="22">
        <f>IF(B43="","",IFERROR(VLOOKUP(B43,'Guest Directory'!$A$5:$B$304,2,FALSE),""))</f>
        <v/>
      </c>
      <c r="D43" s="7" t="n"/>
    </row>
    <row r="44">
      <c r="A44" s="21">
        <f>IF(B44="","",ROW()-4)</f>
        <v/>
      </c>
      <c r="B44" s="7" t="n"/>
      <c r="C44" s="22">
        <f>IF(B44="","",IFERROR(VLOOKUP(B44,'Guest Directory'!$A$5:$B$304,2,FALSE),""))</f>
        <v/>
      </c>
      <c r="D44" s="7" t="n"/>
    </row>
    <row r="45">
      <c r="A45" s="21">
        <f>IF(B45="","",ROW()-4)</f>
        <v/>
      </c>
      <c r="B45" s="7" t="n"/>
      <c r="C45" s="22">
        <f>IF(B45="","",IFERROR(VLOOKUP(B45,'Guest Directory'!$A$5:$B$304,2,FALSE),""))</f>
        <v/>
      </c>
      <c r="D45" s="7" t="n"/>
    </row>
    <row r="46">
      <c r="A46" s="21">
        <f>IF(B46="","",ROW()-4)</f>
        <v/>
      </c>
      <c r="B46" s="7" t="n"/>
      <c r="C46" s="22">
        <f>IF(B46="","",IFERROR(VLOOKUP(B46,'Guest Directory'!$A$5:$B$304,2,FALSE),""))</f>
        <v/>
      </c>
      <c r="D46" s="7" t="n"/>
    </row>
    <row r="47">
      <c r="A47" s="21">
        <f>IF(B47="","",ROW()-4)</f>
        <v/>
      </c>
      <c r="B47" s="7" t="n"/>
      <c r="C47" s="22">
        <f>IF(B47="","",IFERROR(VLOOKUP(B47,'Guest Directory'!$A$5:$B$304,2,FALSE),""))</f>
        <v/>
      </c>
      <c r="D47" s="7" t="n"/>
    </row>
    <row r="48">
      <c r="A48" s="21">
        <f>IF(B48="","",ROW()-4)</f>
        <v/>
      </c>
      <c r="B48" s="7" t="n"/>
      <c r="C48" s="22">
        <f>IF(B48="","",IFERROR(VLOOKUP(B48,'Guest Directory'!$A$5:$B$304,2,FALSE),""))</f>
        <v/>
      </c>
      <c r="D48" s="7" t="n"/>
    </row>
    <row r="49">
      <c r="A49" s="21">
        <f>IF(B49="","",ROW()-4)</f>
        <v/>
      </c>
      <c r="B49" s="7" t="n"/>
      <c r="C49" s="22">
        <f>IF(B49="","",IFERROR(VLOOKUP(B49,'Guest Directory'!$A$5:$B$304,2,FALSE),""))</f>
        <v/>
      </c>
      <c r="D49" s="7" t="n"/>
    </row>
    <row r="50">
      <c r="A50" s="21">
        <f>IF(B50="","",ROW()-4)</f>
        <v/>
      </c>
      <c r="B50" s="7" t="n"/>
      <c r="C50" s="22">
        <f>IF(B50="","",IFERROR(VLOOKUP(B50,'Guest Directory'!$A$5:$B$304,2,FALSE),""))</f>
        <v/>
      </c>
      <c r="D50" s="7" t="n"/>
    </row>
    <row r="51">
      <c r="A51" s="21">
        <f>IF(B51="","",ROW()-4)</f>
        <v/>
      </c>
      <c r="B51" s="7" t="n"/>
      <c r="C51" s="22">
        <f>IF(B51="","",IFERROR(VLOOKUP(B51,'Guest Directory'!$A$5:$B$304,2,FALSE),""))</f>
        <v/>
      </c>
      <c r="D51" s="7" t="n"/>
    </row>
    <row r="52">
      <c r="A52" s="21">
        <f>IF(B52="","",ROW()-4)</f>
        <v/>
      </c>
      <c r="B52" s="7" t="n"/>
      <c r="C52" s="22">
        <f>IF(B52="","",IFERROR(VLOOKUP(B52,'Guest Directory'!$A$5:$B$304,2,FALSE),""))</f>
        <v/>
      </c>
      <c r="D52" s="7" t="n"/>
    </row>
    <row r="53">
      <c r="A53" s="21">
        <f>IF(B53="","",ROW()-4)</f>
        <v/>
      </c>
      <c r="B53" s="7" t="n"/>
      <c r="C53" s="22">
        <f>IF(B53="","",IFERROR(VLOOKUP(B53,'Guest Directory'!$A$5:$B$304,2,FALSE),""))</f>
        <v/>
      </c>
      <c r="D53" s="7" t="n"/>
    </row>
    <row r="54">
      <c r="A54" s="21">
        <f>IF(B54="","",ROW()-4)</f>
        <v/>
      </c>
      <c r="B54" s="7" t="n"/>
      <c r="C54" s="22">
        <f>IF(B54="","",IFERROR(VLOOKUP(B54,'Guest Directory'!$A$5:$B$304,2,FALSE),""))</f>
        <v/>
      </c>
      <c r="D54" s="7" t="n"/>
    </row>
    <row r="55">
      <c r="A55" s="21">
        <f>IF(B55="","",ROW()-4)</f>
        <v/>
      </c>
      <c r="B55" s="7" t="n"/>
      <c r="C55" s="22">
        <f>IF(B55="","",IFERROR(VLOOKUP(B55,'Guest Directory'!$A$5:$B$304,2,FALSE),""))</f>
        <v/>
      </c>
      <c r="D55" s="7" t="n"/>
    </row>
    <row r="56">
      <c r="A56" s="21">
        <f>IF(B56="","",ROW()-4)</f>
        <v/>
      </c>
      <c r="B56" s="7" t="n"/>
      <c r="C56" s="22">
        <f>IF(B56="","",IFERROR(VLOOKUP(B56,'Guest Directory'!$A$5:$B$304,2,FALSE),""))</f>
        <v/>
      </c>
      <c r="D56" s="7" t="n"/>
    </row>
    <row r="57">
      <c r="A57" s="21">
        <f>IF(B57="","",ROW()-4)</f>
        <v/>
      </c>
      <c r="B57" s="7" t="n"/>
      <c r="C57" s="22">
        <f>IF(B57="","",IFERROR(VLOOKUP(B57,'Guest Directory'!$A$5:$B$304,2,FALSE),""))</f>
        <v/>
      </c>
      <c r="D57" s="7" t="n"/>
    </row>
    <row r="58">
      <c r="A58" s="21">
        <f>IF(B58="","",ROW()-4)</f>
        <v/>
      </c>
      <c r="B58" s="7" t="n"/>
      <c r="C58" s="22">
        <f>IF(B58="","",IFERROR(VLOOKUP(B58,'Guest Directory'!$A$5:$B$304,2,FALSE),""))</f>
        <v/>
      </c>
      <c r="D58" s="7" t="n"/>
    </row>
    <row r="59">
      <c r="A59" s="21">
        <f>IF(B59="","",ROW()-4)</f>
        <v/>
      </c>
      <c r="B59" s="7" t="n"/>
      <c r="C59" s="22">
        <f>IF(B59="","",IFERROR(VLOOKUP(B59,'Guest Directory'!$A$5:$B$304,2,FALSE),""))</f>
        <v/>
      </c>
      <c r="D59" s="7" t="n"/>
    </row>
    <row r="60">
      <c r="A60" s="21">
        <f>IF(B60="","",ROW()-4)</f>
        <v/>
      </c>
      <c r="B60" s="7" t="n"/>
      <c r="C60" s="22">
        <f>IF(B60="","",IFERROR(VLOOKUP(B60,'Guest Directory'!$A$5:$B$304,2,FALSE),""))</f>
        <v/>
      </c>
      <c r="D60" s="7" t="n"/>
    </row>
    <row r="61">
      <c r="A61" s="21">
        <f>IF(B61="","",ROW()-4)</f>
        <v/>
      </c>
      <c r="B61" s="7" t="n"/>
      <c r="C61" s="22">
        <f>IF(B61="","",IFERROR(VLOOKUP(B61,'Guest Directory'!$A$5:$B$304,2,FALSE),""))</f>
        <v/>
      </c>
      <c r="D61" s="7" t="n"/>
    </row>
    <row r="62">
      <c r="A62" s="21">
        <f>IF(B62="","",ROW()-4)</f>
        <v/>
      </c>
      <c r="B62" s="7" t="n"/>
      <c r="C62" s="22">
        <f>IF(B62="","",IFERROR(VLOOKUP(B62,'Guest Directory'!$A$5:$B$304,2,FALSE),""))</f>
        <v/>
      </c>
      <c r="D62" s="7" t="n"/>
    </row>
    <row r="63">
      <c r="A63" s="21">
        <f>IF(B63="","",ROW()-4)</f>
        <v/>
      </c>
      <c r="B63" s="7" t="n"/>
      <c r="C63" s="22">
        <f>IF(B63="","",IFERROR(VLOOKUP(B63,'Guest Directory'!$A$5:$B$304,2,FALSE),""))</f>
        <v/>
      </c>
      <c r="D63" s="7" t="n"/>
    </row>
    <row r="64">
      <c r="A64" s="21">
        <f>IF(B64="","",ROW()-4)</f>
        <v/>
      </c>
      <c r="B64" s="7" t="n"/>
      <c r="C64" s="22">
        <f>IF(B64="","",IFERROR(VLOOKUP(B64,'Guest Directory'!$A$5:$B$304,2,FALSE),""))</f>
        <v/>
      </c>
      <c r="D64" s="7" t="n"/>
    </row>
    <row r="65">
      <c r="A65" s="21">
        <f>IF(B65="","",ROW()-4)</f>
        <v/>
      </c>
      <c r="B65" s="7" t="n"/>
      <c r="C65" s="22">
        <f>IF(B65="","",IFERROR(VLOOKUP(B65,'Guest Directory'!$A$5:$B$304,2,FALSE),""))</f>
        <v/>
      </c>
      <c r="D65" s="7" t="n"/>
    </row>
    <row r="66">
      <c r="A66" s="21">
        <f>IF(B66="","",ROW()-4)</f>
        <v/>
      </c>
      <c r="B66" s="7" t="n"/>
      <c r="C66" s="22">
        <f>IF(B66="","",IFERROR(VLOOKUP(B66,'Guest Directory'!$A$5:$B$304,2,FALSE),""))</f>
        <v/>
      </c>
      <c r="D66" s="7" t="n"/>
    </row>
    <row r="67">
      <c r="A67" s="21">
        <f>IF(B67="","",ROW()-4)</f>
        <v/>
      </c>
      <c r="B67" s="7" t="n"/>
      <c r="C67" s="22">
        <f>IF(B67="","",IFERROR(VLOOKUP(B67,'Guest Directory'!$A$5:$B$304,2,FALSE),""))</f>
        <v/>
      </c>
      <c r="D67" s="7" t="n"/>
    </row>
    <row r="68">
      <c r="A68" s="21">
        <f>IF(B68="","",ROW()-4)</f>
        <v/>
      </c>
      <c r="B68" s="7" t="n"/>
      <c r="C68" s="22">
        <f>IF(B68="","",IFERROR(VLOOKUP(B68,'Guest Directory'!$A$5:$B$304,2,FALSE),""))</f>
        <v/>
      </c>
      <c r="D68" s="7" t="n"/>
    </row>
    <row r="69">
      <c r="A69" s="21">
        <f>IF(B69="","",ROW()-4)</f>
        <v/>
      </c>
      <c r="B69" s="7" t="n"/>
      <c r="C69" s="22">
        <f>IF(B69="","",IFERROR(VLOOKUP(B69,'Guest Directory'!$A$5:$B$304,2,FALSE),""))</f>
        <v/>
      </c>
      <c r="D69" s="7" t="n"/>
    </row>
    <row r="70">
      <c r="A70" s="21">
        <f>IF(B70="","",ROW()-4)</f>
        <v/>
      </c>
      <c r="B70" s="7" t="n"/>
      <c r="C70" s="22">
        <f>IF(B70="","",IFERROR(VLOOKUP(B70,'Guest Directory'!$A$5:$B$304,2,FALSE),""))</f>
        <v/>
      </c>
      <c r="D70" s="7" t="n"/>
    </row>
    <row r="71">
      <c r="A71" s="21">
        <f>IF(B71="","",ROW()-4)</f>
        <v/>
      </c>
      <c r="B71" s="7" t="n"/>
      <c r="C71" s="22">
        <f>IF(B71="","",IFERROR(VLOOKUP(B71,'Guest Directory'!$A$5:$B$304,2,FALSE),""))</f>
        <v/>
      </c>
      <c r="D71" s="7" t="n"/>
    </row>
    <row r="72">
      <c r="A72" s="21">
        <f>IF(B72="","",ROW()-4)</f>
        <v/>
      </c>
      <c r="B72" s="7" t="n"/>
      <c r="C72" s="22">
        <f>IF(B72="","",IFERROR(VLOOKUP(B72,'Guest Directory'!$A$5:$B$304,2,FALSE),""))</f>
        <v/>
      </c>
      <c r="D72" s="7" t="n"/>
    </row>
    <row r="73">
      <c r="A73" s="21">
        <f>IF(B73="","",ROW()-4)</f>
        <v/>
      </c>
      <c r="B73" s="7" t="n"/>
      <c r="C73" s="22">
        <f>IF(B73="","",IFERROR(VLOOKUP(B73,'Guest Directory'!$A$5:$B$304,2,FALSE),""))</f>
        <v/>
      </c>
      <c r="D73" s="7" t="n"/>
    </row>
    <row r="74">
      <c r="A74" s="21">
        <f>IF(B74="","",ROW()-4)</f>
        <v/>
      </c>
      <c r="B74" s="7" t="n"/>
      <c r="C74" s="22">
        <f>IF(B74="","",IFERROR(VLOOKUP(B74,'Guest Directory'!$A$5:$B$304,2,FALSE),""))</f>
        <v/>
      </c>
      <c r="D74" s="7" t="n"/>
    </row>
    <row r="75">
      <c r="A75" s="21">
        <f>IF(B75="","",ROW()-4)</f>
        <v/>
      </c>
      <c r="B75" s="7" t="n"/>
      <c r="C75" s="22">
        <f>IF(B75="","",IFERROR(VLOOKUP(B75,'Guest Directory'!$A$5:$B$304,2,FALSE),""))</f>
        <v/>
      </c>
      <c r="D75" s="7" t="n"/>
    </row>
    <row r="76">
      <c r="A76" s="21">
        <f>IF(B76="","",ROW()-4)</f>
        <v/>
      </c>
      <c r="B76" s="7" t="n"/>
      <c r="C76" s="22">
        <f>IF(B76="","",IFERROR(VLOOKUP(B76,'Guest Directory'!$A$5:$B$304,2,FALSE),""))</f>
        <v/>
      </c>
      <c r="D76" s="7" t="n"/>
    </row>
    <row r="77">
      <c r="A77" s="21">
        <f>IF(B77="","",ROW()-4)</f>
        <v/>
      </c>
      <c r="B77" s="7" t="n"/>
      <c r="C77" s="22">
        <f>IF(B77="","",IFERROR(VLOOKUP(B77,'Guest Directory'!$A$5:$B$304,2,FALSE),""))</f>
        <v/>
      </c>
      <c r="D77" s="7" t="n"/>
    </row>
    <row r="78">
      <c r="A78" s="21">
        <f>IF(B78="","",ROW()-4)</f>
        <v/>
      </c>
      <c r="B78" s="7" t="n"/>
      <c r="C78" s="22">
        <f>IF(B78="","",IFERROR(VLOOKUP(B78,'Guest Directory'!$A$5:$B$304,2,FALSE),""))</f>
        <v/>
      </c>
      <c r="D78" s="7" t="n"/>
    </row>
    <row r="79">
      <c r="A79" s="21">
        <f>IF(B79="","",ROW()-4)</f>
        <v/>
      </c>
      <c r="B79" s="7" t="n"/>
      <c r="C79" s="22">
        <f>IF(B79="","",IFERROR(VLOOKUP(B79,'Guest Directory'!$A$5:$B$304,2,FALSE),""))</f>
        <v/>
      </c>
      <c r="D79" s="7" t="n"/>
    </row>
    <row r="80">
      <c r="A80" s="21">
        <f>IF(B80="","",ROW()-4)</f>
        <v/>
      </c>
      <c r="B80" s="7" t="n"/>
      <c r="C80" s="22">
        <f>IF(B80="","",IFERROR(VLOOKUP(B80,'Guest Directory'!$A$5:$B$304,2,FALSE),""))</f>
        <v/>
      </c>
      <c r="D80" s="7" t="n"/>
    </row>
    <row r="81">
      <c r="A81" s="21">
        <f>IF(B81="","",ROW()-4)</f>
        <v/>
      </c>
      <c r="B81" s="7" t="n"/>
      <c r="C81" s="22">
        <f>IF(B81="","",IFERROR(VLOOKUP(B81,'Guest Directory'!$A$5:$B$304,2,FALSE),""))</f>
        <v/>
      </c>
      <c r="D81" s="7" t="n"/>
    </row>
    <row r="82">
      <c r="A82" s="21">
        <f>IF(B82="","",ROW()-4)</f>
        <v/>
      </c>
      <c r="B82" s="7" t="n"/>
      <c r="C82" s="22">
        <f>IF(B82="","",IFERROR(VLOOKUP(B82,'Guest Directory'!$A$5:$B$304,2,FALSE),""))</f>
        <v/>
      </c>
      <c r="D82" s="7" t="n"/>
    </row>
    <row r="83">
      <c r="A83" s="21">
        <f>IF(B83="","",ROW()-4)</f>
        <v/>
      </c>
      <c r="B83" s="7" t="n"/>
      <c r="C83" s="22">
        <f>IF(B83="","",IFERROR(VLOOKUP(B83,'Guest Directory'!$A$5:$B$304,2,FALSE),""))</f>
        <v/>
      </c>
      <c r="D83" s="7" t="n"/>
    </row>
    <row r="84">
      <c r="A84" s="21">
        <f>IF(B84="","",ROW()-4)</f>
        <v/>
      </c>
      <c r="B84" s="7" t="n"/>
      <c r="C84" s="22">
        <f>IF(B84="","",IFERROR(VLOOKUP(B84,'Guest Directory'!$A$5:$B$304,2,FALSE),""))</f>
        <v/>
      </c>
      <c r="D84" s="7" t="n"/>
    </row>
    <row r="85">
      <c r="A85" s="21">
        <f>IF(B85="","",ROW()-4)</f>
        <v/>
      </c>
      <c r="B85" s="7" t="n"/>
      <c r="C85" s="22">
        <f>IF(B85="","",IFERROR(VLOOKUP(B85,'Guest Directory'!$A$5:$B$304,2,FALSE),""))</f>
        <v/>
      </c>
      <c r="D85" s="7" t="n"/>
    </row>
    <row r="86">
      <c r="A86" s="21">
        <f>IF(B86="","",ROW()-4)</f>
        <v/>
      </c>
      <c r="B86" s="7" t="n"/>
      <c r="C86" s="22">
        <f>IF(B86="","",IFERROR(VLOOKUP(B86,'Guest Directory'!$A$5:$B$304,2,FALSE),""))</f>
        <v/>
      </c>
      <c r="D86" s="7" t="n"/>
    </row>
    <row r="87">
      <c r="A87" s="21">
        <f>IF(B87="","",ROW()-4)</f>
        <v/>
      </c>
      <c r="B87" s="7" t="n"/>
      <c r="C87" s="22">
        <f>IF(B87="","",IFERROR(VLOOKUP(B87,'Guest Directory'!$A$5:$B$304,2,FALSE),""))</f>
        <v/>
      </c>
      <c r="D87" s="7" t="n"/>
    </row>
    <row r="88">
      <c r="A88" s="21">
        <f>IF(B88="","",ROW()-4)</f>
        <v/>
      </c>
      <c r="B88" s="7" t="n"/>
      <c r="C88" s="22">
        <f>IF(B88="","",IFERROR(VLOOKUP(B88,'Guest Directory'!$A$5:$B$304,2,FALSE),""))</f>
        <v/>
      </c>
      <c r="D88" s="7" t="n"/>
    </row>
    <row r="89">
      <c r="A89" s="21">
        <f>IF(B89="","",ROW()-4)</f>
        <v/>
      </c>
      <c r="B89" s="7" t="n"/>
      <c r="C89" s="22">
        <f>IF(B89="","",IFERROR(VLOOKUP(B89,'Guest Directory'!$A$5:$B$304,2,FALSE),""))</f>
        <v/>
      </c>
      <c r="D89" s="7" t="n"/>
    </row>
    <row r="90">
      <c r="A90" s="21">
        <f>IF(B90="","",ROW()-4)</f>
        <v/>
      </c>
      <c r="B90" s="7" t="n"/>
      <c r="C90" s="22">
        <f>IF(B90="","",IFERROR(VLOOKUP(B90,'Guest Directory'!$A$5:$B$304,2,FALSE),""))</f>
        <v/>
      </c>
      <c r="D90" s="7" t="n"/>
    </row>
    <row r="91">
      <c r="A91" s="21">
        <f>IF(B91="","",ROW()-4)</f>
        <v/>
      </c>
      <c r="B91" s="7" t="n"/>
      <c r="C91" s="22">
        <f>IF(B91="","",IFERROR(VLOOKUP(B91,'Guest Directory'!$A$5:$B$304,2,FALSE),""))</f>
        <v/>
      </c>
      <c r="D91" s="7" t="n"/>
    </row>
    <row r="92">
      <c r="A92" s="21">
        <f>IF(B92="","",ROW()-4)</f>
        <v/>
      </c>
      <c r="B92" s="7" t="n"/>
      <c r="C92" s="22">
        <f>IF(B92="","",IFERROR(VLOOKUP(B92,'Guest Directory'!$A$5:$B$304,2,FALSE),""))</f>
        <v/>
      </c>
      <c r="D92" s="7" t="n"/>
    </row>
    <row r="93">
      <c r="A93" s="21">
        <f>IF(B93="","",ROW()-4)</f>
        <v/>
      </c>
      <c r="B93" s="7" t="n"/>
      <c r="C93" s="22">
        <f>IF(B93="","",IFERROR(VLOOKUP(B93,'Guest Directory'!$A$5:$B$304,2,FALSE),""))</f>
        <v/>
      </c>
      <c r="D93" s="7" t="n"/>
    </row>
    <row r="94">
      <c r="A94" s="21">
        <f>IF(B94="","",ROW()-4)</f>
        <v/>
      </c>
      <c r="B94" s="7" t="n"/>
      <c r="C94" s="22">
        <f>IF(B94="","",IFERROR(VLOOKUP(B94,'Guest Directory'!$A$5:$B$304,2,FALSE),""))</f>
        <v/>
      </c>
      <c r="D94" s="7" t="n"/>
    </row>
    <row r="95">
      <c r="A95" s="21">
        <f>IF(B95="","",ROW()-4)</f>
        <v/>
      </c>
      <c r="B95" s="7" t="n"/>
      <c r="C95" s="22">
        <f>IF(B95="","",IFERROR(VLOOKUP(B95,'Guest Directory'!$A$5:$B$304,2,FALSE),""))</f>
        <v/>
      </c>
      <c r="D95" s="7" t="n"/>
    </row>
    <row r="96">
      <c r="A96" s="21">
        <f>IF(B96="","",ROW()-4)</f>
        <v/>
      </c>
      <c r="B96" s="7" t="n"/>
      <c r="C96" s="22">
        <f>IF(B96="","",IFERROR(VLOOKUP(B96,'Guest Directory'!$A$5:$B$304,2,FALSE),""))</f>
        <v/>
      </c>
      <c r="D96" s="7" t="n"/>
    </row>
    <row r="97">
      <c r="A97" s="21">
        <f>IF(B97="","",ROW()-4)</f>
        <v/>
      </c>
      <c r="B97" s="7" t="n"/>
      <c r="C97" s="22">
        <f>IF(B97="","",IFERROR(VLOOKUP(B97,'Guest Directory'!$A$5:$B$304,2,FALSE),""))</f>
        <v/>
      </c>
      <c r="D97" s="7" t="n"/>
    </row>
    <row r="98">
      <c r="A98" s="21">
        <f>IF(B98="","",ROW()-4)</f>
        <v/>
      </c>
      <c r="B98" s="7" t="n"/>
      <c r="C98" s="22">
        <f>IF(B98="","",IFERROR(VLOOKUP(B98,'Guest Directory'!$A$5:$B$304,2,FALSE),""))</f>
        <v/>
      </c>
      <c r="D98" s="7" t="n"/>
    </row>
    <row r="99">
      <c r="A99" s="21">
        <f>IF(B99="","",ROW()-4)</f>
        <v/>
      </c>
      <c r="B99" s="7" t="n"/>
      <c r="C99" s="22">
        <f>IF(B99="","",IFERROR(VLOOKUP(B99,'Guest Directory'!$A$5:$B$304,2,FALSE),""))</f>
        <v/>
      </c>
      <c r="D99" s="7" t="n"/>
    </row>
    <row r="100">
      <c r="A100" s="21">
        <f>IF(B100="","",ROW()-4)</f>
        <v/>
      </c>
      <c r="B100" s="7" t="n"/>
      <c r="C100" s="22">
        <f>IF(B100="","",IFERROR(VLOOKUP(B100,'Guest Directory'!$A$5:$B$304,2,FALSE),""))</f>
        <v/>
      </c>
      <c r="D100" s="7" t="n"/>
    </row>
    <row r="101">
      <c r="A101" s="21">
        <f>IF(B101="","",ROW()-4)</f>
        <v/>
      </c>
      <c r="B101" s="7" t="n"/>
      <c r="C101" s="22">
        <f>IF(B101="","",IFERROR(VLOOKUP(B101,'Guest Directory'!$A$5:$B$304,2,FALSE),""))</f>
        <v/>
      </c>
      <c r="D101" s="7" t="n"/>
    </row>
    <row r="102">
      <c r="A102" s="21">
        <f>IF(B102="","",ROW()-4)</f>
        <v/>
      </c>
      <c r="B102" s="7" t="n"/>
      <c r="C102" s="22">
        <f>IF(B102="","",IFERROR(VLOOKUP(B102,'Guest Directory'!$A$5:$B$304,2,FALSE),""))</f>
        <v/>
      </c>
      <c r="D102" s="7" t="n"/>
    </row>
    <row r="103">
      <c r="A103" s="21">
        <f>IF(B103="","",ROW()-4)</f>
        <v/>
      </c>
      <c r="B103" s="7" t="n"/>
      <c r="C103" s="22">
        <f>IF(B103="","",IFERROR(VLOOKUP(B103,'Guest Directory'!$A$5:$B$304,2,FALSE),""))</f>
        <v/>
      </c>
      <c r="D103" s="7" t="n"/>
    </row>
    <row r="104">
      <c r="A104" s="21">
        <f>IF(B104="","",ROW()-4)</f>
        <v/>
      </c>
      <c r="B104" s="7" t="n"/>
      <c r="C104" s="22">
        <f>IF(B104="","",IFERROR(VLOOKUP(B104,'Guest Directory'!$A$5:$B$304,2,FALSE),""))</f>
        <v/>
      </c>
      <c r="D104" s="7" t="n"/>
    </row>
    <row r="105">
      <c r="A105" s="21">
        <f>IF(B105="","",ROW()-4)</f>
        <v/>
      </c>
      <c r="B105" s="7" t="n"/>
      <c r="C105" s="22">
        <f>IF(B105="","",IFERROR(VLOOKUP(B105,'Guest Directory'!$A$5:$B$304,2,FALSE),""))</f>
        <v/>
      </c>
      <c r="D105" s="7" t="n"/>
    </row>
    <row r="106">
      <c r="A106" s="21">
        <f>IF(B106="","",ROW()-4)</f>
        <v/>
      </c>
      <c r="B106" s="7" t="n"/>
      <c r="C106" s="22">
        <f>IF(B106="","",IFERROR(VLOOKUP(B106,'Guest Directory'!$A$5:$B$304,2,FALSE),""))</f>
        <v/>
      </c>
      <c r="D106" s="7" t="n"/>
    </row>
    <row r="107">
      <c r="A107" s="21">
        <f>IF(B107="","",ROW()-4)</f>
        <v/>
      </c>
      <c r="B107" s="7" t="n"/>
      <c r="C107" s="22">
        <f>IF(B107="","",IFERROR(VLOOKUP(B107,'Guest Directory'!$A$5:$B$304,2,FALSE),""))</f>
        <v/>
      </c>
      <c r="D107" s="7" t="n"/>
    </row>
    <row r="108">
      <c r="A108" s="21">
        <f>IF(B108="","",ROW()-4)</f>
        <v/>
      </c>
      <c r="B108" s="7" t="n"/>
      <c r="C108" s="22">
        <f>IF(B108="","",IFERROR(VLOOKUP(B108,'Guest Directory'!$A$5:$B$304,2,FALSE),""))</f>
        <v/>
      </c>
      <c r="D108" s="7" t="n"/>
    </row>
    <row r="109">
      <c r="A109" s="21">
        <f>IF(B109="","",ROW()-4)</f>
        <v/>
      </c>
      <c r="B109" s="7" t="n"/>
      <c r="C109" s="22">
        <f>IF(B109="","",IFERROR(VLOOKUP(B109,'Guest Directory'!$A$5:$B$304,2,FALSE),""))</f>
        <v/>
      </c>
      <c r="D109" s="7" t="n"/>
    </row>
    <row r="110">
      <c r="A110" s="21">
        <f>IF(B110="","",ROW()-4)</f>
        <v/>
      </c>
      <c r="B110" s="7" t="n"/>
      <c r="C110" s="22">
        <f>IF(B110="","",IFERROR(VLOOKUP(B110,'Guest Directory'!$A$5:$B$304,2,FALSE),""))</f>
        <v/>
      </c>
      <c r="D110" s="7" t="n"/>
    </row>
    <row r="111">
      <c r="A111" s="21">
        <f>IF(B111="","",ROW()-4)</f>
        <v/>
      </c>
      <c r="B111" s="7" t="n"/>
      <c r="C111" s="22">
        <f>IF(B111="","",IFERROR(VLOOKUP(B111,'Guest Directory'!$A$5:$B$304,2,FALSE),""))</f>
        <v/>
      </c>
      <c r="D111" s="7" t="n"/>
    </row>
    <row r="112">
      <c r="A112" s="21">
        <f>IF(B112="","",ROW()-4)</f>
        <v/>
      </c>
      <c r="B112" s="7" t="n"/>
      <c r="C112" s="22">
        <f>IF(B112="","",IFERROR(VLOOKUP(B112,'Guest Directory'!$A$5:$B$304,2,FALSE),""))</f>
        <v/>
      </c>
      <c r="D112" s="7" t="n"/>
    </row>
    <row r="113">
      <c r="A113" s="21">
        <f>IF(B113="","",ROW()-4)</f>
        <v/>
      </c>
      <c r="B113" s="7" t="n"/>
      <c r="C113" s="22">
        <f>IF(B113="","",IFERROR(VLOOKUP(B113,'Guest Directory'!$A$5:$B$304,2,FALSE),""))</f>
        <v/>
      </c>
      <c r="D113" s="7" t="n"/>
    </row>
    <row r="114">
      <c r="A114" s="21">
        <f>IF(B114="","",ROW()-4)</f>
        <v/>
      </c>
      <c r="B114" s="7" t="n"/>
      <c r="C114" s="22">
        <f>IF(B114="","",IFERROR(VLOOKUP(B114,'Guest Directory'!$A$5:$B$304,2,FALSE),""))</f>
        <v/>
      </c>
      <c r="D114" s="7" t="n"/>
    </row>
    <row r="115">
      <c r="A115" s="21">
        <f>IF(B115="","",ROW()-4)</f>
        <v/>
      </c>
      <c r="B115" s="7" t="n"/>
      <c r="C115" s="22">
        <f>IF(B115="","",IFERROR(VLOOKUP(B115,'Guest Directory'!$A$5:$B$304,2,FALSE),""))</f>
        <v/>
      </c>
      <c r="D115" s="7" t="n"/>
    </row>
    <row r="116">
      <c r="A116" s="21">
        <f>IF(B116="","",ROW()-4)</f>
        <v/>
      </c>
      <c r="B116" s="7" t="n"/>
      <c r="C116" s="22">
        <f>IF(B116="","",IFERROR(VLOOKUP(B116,'Guest Directory'!$A$5:$B$304,2,FALSE),""))</f>
        <v/>
      </c>
      <c r="D116" s="7" t="n"/>
    </row>
    <row r="117">
      <c r="A117" s="21">
        <f>IF(B117="","",ROW()-4)</f>
        <v/>
      </c>
      <c r="B117" s="7" t="n"/>
      <c r="C117" s="22">
        <f>IF(B117="","",IFERROR(VLOOKUP(B117,'Guest Directory'!$A$5:$B$304,2,FALSE),""))</f>
        <v/>
      </c>
      <c r="D117" s="7" t="n"/>
    </row>
    <row r="118">
      <c r="A118" s="21">
        <f>IF(B118="","",ROW()-4)</f>
        <v/>
      </c>
      <c r="B118" s="7" t="n"/>
      <c r="C118" s="22">
        <f>IF(B118="","",IFERROR(VLOOKUP(B118,'Guest Directory'!$A$5:$B$304,2,FALSE),""))</f>
        <v/>
      </c>
      <c r="D118" s="7" t="n"/>
    </row>
    <row r="119">
      <c r="A119" s="21">
        <f>IF(B119="","",ROW()-4)</f>
        <v/>
      </c>
      <c r="B119" s="7" t="n"/>
      <c r="C119" s="22">
        <f>IF(B119="","",IFERROR(VLOOKUP(B119,'Guest Directory'!$A$5:$B$304,2,FALSE),""))</f>
        <v/>
      </c>
      <c r="D119" s="7" t="n"/>
    </row>
    <row r="120">
      <c r="A120" s="21">
        <f>IF(B120="","",ROW()-4)</f>
        <v/>
      </c>
      <c r="B120" s="7" t="n"/>
      <c r="C120" s="22">
        <f>IF(B120="","",IFERROR(VLOOKUP(B120,'Guest Directory'!$A$5:$B$304,2,FALSE),""))</f>
        <v/>
      </c>
      <c r="D120" s="7" t="n"/>
    </row>
    <row r="121">
      <c r="A121" s="21">
        <f>IF(B121="","",ROW()-4)</f>
        <v/>
      </c>
      <c r="B121" s="7" t="n"/>
      <c r="C121" s="22">
        <f>IF(B121="","",IFERROR(VLOOKUP(B121,'Guest Directory'!$A$5:$B$304,2,FALSE),""))</f>
        <v/>
      </c>
      <c r="D121" s="7" t="n"/>
    </row>
    <row r="122">
      <c r="A122" s="21">
        <f>IF(B122="","",ROW()-4)</f>
        <v/>
      </c>
      <c r="B122" s="7" t="n"/>
      <c r="C122" s="22">
        <f>IF(B122="","",IFERROR(VLOOKUP(B122,'Guest Directory'!$A$5:$B$304,2,FALSE),""))</f>
        <v/>
      </c>
      <c r="D122" s="7" t="n"/>
    </row>
    <row r="123">
      <c r="A123" s="21">
        <f>IF(B123="","",ROW()-4)</f>
        <v/>
      </c>
      <c r="B123" s="7" t="n"/>
      <c r="C123" s="22">
        <f>IF(B123="","",IFERROR(VLOOKUP(B123,'Guest Directory'!$A$5:$B$304,2,FALSE),""))</f>
        <v/>
      </c>
      <c r="D123" s="7" t="n"/>
    </row>
    <row r="124">
      <c r="A124" s="21">
        <f>IF(B124="","",ROW()-4)</f>
        <v/>
      </c>
      <c r="B124" s="7" t="n"/>
      <c r="C124" s="22">
        <f>IF(B124="","",IFERROR(VLOOKUP(B124,'Guest Directory'!$A$5:$B$304,2,FALSE),""))</f>
        <v/>
      </c>
      <c r="D124" s="7" t="n"/>
    </row>
    <row r="125">
      <c r="A125" s="21">
        <f>IF(B125="","",ROW()-4)</f>
        <v/>
      </c>
      <c r="B125" s="7" t="n"/>
      <c r="C125" s="22">
        <f>IF(B125="","",IFERROR(VLOOKUP(B125,'Guest Directory'!$A$5:$B$304,2,FALSE),""))</f>
        <v/>
      </c>
      <c r="D125" s="7" t="n"/>
    </row>
    <row r="126">
      <c r="A126" s="21">
        <f>IF(B126="","",ROW()-4)</f>
        <v/>
      </c>
      <c r="B126" s="7" t="n"/>
      <c r="C126" s="22">
        <f>IF(B126="","",IFERROR(VLOOKUP(B126,'Guest Directory'!$A$5:$B$304,2,FALSE),""))</f>
        <v/>
      </c>
      <c r="D126" s="7" t="n"/>
    </row>
    <row r="127">
      <c r="A127" s="21">
        <f>IF(B127="","",ROW()-4)</f>
        <v/>
      </c>
      <c r="B127" s="7" t="n"/>
      <c r="C127" s="22">
        <f>IF(B127="","",IFERROR(VLOOKUP(B127,'Guest Directory'!$A$5:$B$304,2,FALSE),""))</f>
        <v/>
      </c>
      <c r="D127" s="7" t="n"/>
    </row>
    <row r="128">
      <c r="A128" s="21">
        <f>IF(B128="","",ROW()-4)</f>
        <v/>
      </c>
      <c r="B128" s="7" t="n"/>
      <c r="C128" s="22">
        <f>IF(B128="","",IFERROR(VLOOKUP(B128,'Guest Directory'!$A$5:$B$304,2,FALSE),""))</f>
        <v/>
      </c>
      <c r="D128" s="7" t="n"/>
    </row>
    <row r="129">
      <c r="A129" s="21">
        <f>IF(B129="","",ROW()-4)</f>
        <v/>
      </c>
      <c r="B129" s="7" t="n"/>
      <c r="C129" s="22">
        <f>IF(B129="","",IFERROR(VLOOKUP(B129,'Guest Directory'!$A$5:$B$304,2,FALSE),""))</f>
        <v/>
      </c>
      <c r="D129" s="7" t="n"/>
    </row>
    <row r="130">
      <c r="A130" s="21">
        <f>IF(B130="","",ROW()-4)</f>
        <v/>
      </c>
      <c r="B130" s="7" t="n"/>
      <c r="C130" s="22">
        <f>IF(B130="","",IFERROR(VLOOKUP(B130,'Guest Directory'!$A$5:$B$304,2,FALSE),""))</f>
        <v/>
      </c>
      <c r="D130" s="7" t="n"/>
    </row>
    <row r="131">
      <c r="A131" s="21">
        <f>IF(B131="","",ROW()-4)</f>
        <v/>
      </c>
      <c r="B131" s="7" t="n"/>
      <c r="C131" s="22">
        <f>IF(B131="","",IFERROR(VLOOKUP(B131,'Guest Directory'!$A$5:$B$304,2,FALSE),""))</f>
        <v/>
      </c>
      <c r="D131" s="7" t="n"/>
    </row>
    <row r="132">
      <c r="A132" s="21">
        <f>IF(B132="","",ROW()-4)</f>
        <v/>
      </c>
      <c r="B132" s="7" t="n"/>
      <c r="C132" s="22">
        <f>IF(B132="","",IFERROR(VLOOKUP(B132,'Guest Directory'!$A$5:$B$304,2,FALSE),""))</f>
        <v/>
      </c>
      <c r="D132" s="7" t="n"/>
    </row>
    <row r="133">
      <c r="A133" s="21">
        <f>IF(B133="","",ROW()-4)</f>
        <v/>
      </c>
      <c r="B133" s="7" t="n"/>
      <c r="C133" s="22">
        <f>IF(B133="","",IFERROR(VLOOKUP(B133,'Guest Directory'!$A$5:$B$304,2,FALSE),""))</f>
        <v/>
      </c>
      <c r="D133" s="7" t="n"/>
    </row>
    <row r="134">
      <c r="A134" s="21">
        <f>IF(B134="","",ROW()-4)</f>
        <v/>
      </c>
      <c r="B134" s="7" t="n"/>
      <c r="C134" s="22">
        <f>IF(B134="","",IFERROR(VLOOKUP(B134,'Guest Directory'!$A$5:$B$304,2,FALSE),""))</f>
        <v/>
      </c>
      <c r="D134" s="7" t="n"/>
    </row>
    <row r="135">
      <c r="A135" s="21">
        <f>IF(B135="","",ROW()-4)</f>
        <v/>
      </c>
      <c r="B135" s="7" t="n"/>
      <c r="C135" s="22">
        <f>IF(B135="","",IFERROR(VLOOKUP(B135,'Guest Directory'!$A$5:$B$304,2,FALSE),""))</f>
        <v/>
      </c>
      <c r="D135" s="7" t="n"/>
    </row>
    <row r="136">
      <c r="A136" s="21">
        <f>IF(B136="","",ROW()-4)</f>
        <v/>
      </c>
      <c r="B136" s="7" t="n"/>
      <c r="C136" s="22">
        <f>IF(B136="","",IFERROR(VLOOKUP(B136,'Guest Directory'!$A$5:$B$304,2,FALSE),""))</f>
        <v/>
      </c>
      <c r="D136" s="7" t="n"/>
    </row>
    <row r="137">
      <c r="A137" s="21">
        <f>IF(B137="","",ROW()-4)</f>
        <v/>
      </c>
      <c r="B137" s="7" t="n"/>
      <c r="C137" s="22">
        <f>IF(B137="","",IFERROR(VLOOKUP(B137,'Guest Directory'!$A$5:$B$304,2,FALSE),""))</f>
        <v/>
      </c>
      <c r="D137" s="7" t="n"/>
    </row>
    <row r="138">
      <c r="A138" s="21">
        <f>IF(B138="","",ROW()-4)</f>
        <v/>
      </c>
      <c r="B138" s="7" t="n"/>
      <c r="C138" s="22">
        <f>IF(B138="","",IFERROR(VLOOKUP(B138,'Guest Directory'!$A$5:$B$304,2,FALSE),""))</f>
        <v/>
      </c>
      <c r="D138" s="7" t="n"/>
    </row>
    <row r="139">
      <c r="A139" s="21">
        <f>IF(B139="","",ROW()-4)</f>
        <v/>
      </c>
      <c r="B139" s="7" t="n"/>
      <c r="C139" s="22">
        <f>IF(B139="","",IFERROR(VLOOKUP(B139,'Guest Directory'!$A$5:$B$304,2,FALSE),""))</f>
        <v/>
      </c>
      <c r="D139" s="7" t="n"/>
    </row>
    <row r="140">
      <c r="A140" s="21">
        <f>IF(B140="","",ROW()-4)</f>
        <v/>
      </c>
      <c r="B140" s="7" t="n"/>
      <c r="C140" s="22">
        <f>IF(B140="","",IFERROR(VLOOKUP(B140,'Guest Directory'!$A$5:$B$304,2,FALSE),""))</f>
        <v/>
      </c>
      <c r="D140" s="7" t="n"/>
    </row>
    <row r="141">
      <c r="A141" s="21">
        <f>IF(B141="","",ROW()-4)</f>
        <v/>
      </c>
      <c r="B141" s="7" t="n"/>
      <c r="C141" s="22">
        <f>IF(B141="","",IFERROR(VLOOKUP(B141,'Guest Directory'!$A$5:$B$304,2,FALSE),""))</f>
        <v/>
      </c>
      <c r="D141" s="7" t="n"/>
    </row>
    <row r="142">
      <c r="A142" s="21">
        <f>IF(B142="","",ROW()-4)</f>
        <v/>
      </c>
      <c r="B142" s="7" t="n"/>
      <c r="C142" s="22">
        <f>IF(B142="","",IFERROR(VLOOKUP(B142,'Guest Directory'!$A$5:$B$304,2,FALSE),""))</f>
        <v/>
      </c>
      <c r="D142" s="7" t="n"/>
    </row>
    <row r="143">
      <c r="A143" s="21">
        <f>IF(B143="","",ROW()-4)</f>
        <v/>
      </c>
      <c r="B143" s="7" t="n"/>
      <c r="C143" s="22">
        <f>IF(B143="","",IFERROR(VLOOKUP(B143,'Guest Directory'!$A$5:$B$304,2,FALSE),""))</f>
        <v/>
      </c>
      <c r="D143" s="7" t="n"/>
    </row>
    <row r="144">
      <c r="A144" s="21">
        <f>IF(B144="","",ROW()-4)</f>
        <v/>
      </c>
      <c r="B144" s="7" t="n"/>
      <c r="C144" s="22">
        <f>IF(B144="","",IFERROR(VLOOKUP(B144,'Guest Directory'!$A$5:$B$304,2,FALSE),""))</f>
        <v/>
      </c>
      <c r="D144" s="7" t="n"/>
    </row>
    <row r="145">
      <c r="A145" s="21">
        <f>IF(B145="","",ROW()-4)</f>
        <v/>
      </c>
      <c r="B145" s="7" t="n"/>
      <c r="C145" s="22">
        <f>IF(B145="","",IFERROR(VLOOKUP(B145,'Guest Directory'!$A$5:$B$304,2,FALSE),""))</f>
        <v/>
      </c>
      <c r="D145" s="7" t="n"/>
    </row>
    <row r="146">
      <c r="A146" s="21">
        <f>IF(B146="","",ROW()-4)</f>
        <v/>
      </c>
      <c r="B146" s="7" t="n"/>
      <c r="C146" s="22">
        <f>IF(B146="","",IFERROR(VLOOKUP(B146,'Guest Directory'!$A$5:$B$304,2,FALSE),""))</f>
        <v/>
      </c>
      <c r="D146" s="7" t="n"/>
    </row>
    <row r="147">
      <c r="A147" s="21">
        <f>IF(B147="","",ROW()-4)</f>
        <v/>
      </c>
      <c r="B147" s="7" t="n"/>
      <c r="C147" s="22">
        <f>IF(B147="","",IFERROR(VLOOKUP(B147,'Guest Directory'!$A$5:$B$304,2,FALSE),""))</f>
        <v/>
      </c>
      <c r="D147" s="7" t="n"/>
    </row>
    <row r="148">
      <c r="A148" s="21">
        <f>IF(B148="","",ROW()-4)</f>
        <v/>
      </c>
      <c r="B148" s="7" t="n"/>
      <c r="C148" s="22">
        <f>IF(B148="","",IFERROR(VLOOKUP(B148,'Guest Directory'!$A$5:$B$304,2,FALSE),""))</f>
        <v/>
      </c>
      <c r="D148" s="7" t="n"/>
    </row>
    <row r="149">
      <c r="A149" s="21">
        <f>IF(B149="","",ROW()-4)</f>
        <v/>
      </c>
      <c r="B149" s="7" t="n"/>
      <c r="C149" s="22">
        <f>IF(B149="","",IFERROR(VLOOKUP(B149,'Guest Directory'!$A$5:$B$304,2,FALSE),""))</f>
        <v/>
      </c>
      <c r="D149" s="7" t="n"/>
    </row>
    <row r="150">
      <c r="A150" s="21">
        <f>IF(B150="","",ROW()-4)</f>
        <v/>
      </c>
      <c r="B150" s="7" t="n"/>
      <c r="C150" s="22">
        <f>IF(B150="","",IFERROR(VLOOKUP(B150,'Guest Directory'!$A$5:$B$304,2,FALSE),""))</f>
        <v/>
      </c>
      <c r="D150" s="7" t="n"/>
    </row>
    <row r="151">
      <c r="A151" s="21">
        <f>IF(B151="","",ROW()-4)</f>
        <v/>
      </c>
      <c r="B151" s="7" t="n"/>
      <c r="C151" s="22">
        <f>IF(B151="","",IFERROR(VLOOKUP(B151,'Guest Directory'!$A$5:$B$304,2,FALSE),""))</f>
        <v/>
      </c>
      <c r="D151" s="7" t="n"/>
    </row>
    <row r="152">
      <c r="A152" s="21">
        <f>IF(B152="","",ROW()-4)</f>
        <v/>
      </c>
      <c r="B152" s="7" t="n"/>
      <c r="C152" s="22">
        <f>IF(B152="","",IFERROR(VLOOKUP(B152,'Guest Directory'!$A$5:$B$304,2,FALSE),""))</f>
        <v/>
      </c>
      <c r="D152" s="7" t="n"/>
    </row>
    <row r="153">
      <c r="A153" s="21">
        <f>IF(B153="","",ROW()-4)</f>
        <v/>
      </c>
      <c r="B153" s="7" t="n"/>
      <c r="C153" s="22">
        <f>IF(B153="","",IFERROR(VLOOKUP(B153,'Guest Directory'!$A$5:$B$304,2,FALSE),""))</f>
        <v/>
      </c>
      <c r="D153" s="7" t="n"/>
    </row>
    <row r="154">
      <c r="A154" s="21">
        <f>IF(B154="","",ROW()-4)</f>
        <v/>
      </c>
      <c r="B154" s="7" t="n"/>
      <c r="C154" s="22">
        <f>IF(B154="","",IFERROR(VLOOKUP(B154,'Guest Directory'!$A$5:$B$304,2,FALSE),""))</f>
        <v/>
      </c>
      <c r="D154" s="7" t="n"/>
    </row>
    <row r="155">
      <c r="A155" s="21">
        <f>IF(B155="","",ROW()-4)</f>
        <v/>
      </c>
      <c r="B155" s="7" t="n"/>
      <c r="C155" s="22">
        <f>IF(B155="","",IFERROR(VLOOKUP(B155,'Guest Directory'!$A$5:$B$304,2,FALSE),""))</f>
        <v/>
      </c>
      <c r="D155" s="7" t="n"/>
    </row>
    <row r="156">
      <c r="A156" s="21">
        <f>IF(B156="","",ROW()-4)</f>
        <v/>
      </c>
      <c r="B156" s="7" t="n"/>
      <c r="C156" s="22">
        <f>IF(B156="","",IFERROR(VLOOKUP(B156,'Guest Directory'!$A$5:$B$304,2,FALSE),""))</f>
        <v/>
      </c>
      <c r="D156" s="7" t="n"/>
    </row>
    <row r="157">
      <c r="A157" s="21">
        <f>IF(B157="","",ROW()-4)</f>
        <v/>
      </c>
      <c r="B157" s="7" t="n"/>
      <c r="C157" s="22">
        <f>IF(B157="","",IFERROR(VLOOKUP(B157,'Guest Directory'!$A$5:$B$304,2,FALSE),""))</f>
        <v/>
      </c>
      <c r="D157" s="7" t="n"/>
    </row>
    <row r="158">
      <c r="A158" s="21">
        <f>IF(B158="","",ROW()-4)</f>
        <v/>
      </c>
      <c r="B158" s="7" t="n"/>
      <c r="C158" s="22">
        <f>IF(B158="","",IFERROR(VLOOKUP(B158,'Guest Directory'!$A$5:$B$304,2,FALSE),""))</f>
        <v/>
      </c>
      <c r="D158" s="7" t="n"/>
    </row>
    <row r="159">
      <c r="A159" s="21">
        <f>IF(B159="","",ROW()-4)</f>
        <v/>
      </c>
      <c r="B159" s="7" t="n"/>
      <c r="C159" s="22">
        <f>IF(B159="","",IFERROR(VLOOKUP(B159,'Guest Directory'!$A$5:$B$304,2,FALSE),""))</f>
        <v/>
      </c>
      <c r="D159" s="7" t="n"/>
    </row>
    <row r="160">
      <c r="A160" s="21">
        <f>IF(B160="","",ROW()-4)</f>
        <v/>
      </c>
      <c r="B160" s="7" t="n"/>
      <c r="C160" s="22">
        <f>IF(B160="","",IFERROR(VLOOKUP(B160,'Guest Directory'!$A$5:$B$304,2,FALSE),""))</f>
        <v/>
      </c>
      <c r="D160" s="7" t="n"/>
    </row>
    <row r="161">
      <c r="A161" s="21">
        <f>IF(B161="","",ROW()-4)</f>
        <v/>
      </c>
      <c r="B161" s="7" t="n"/>
      <c r="C161" s="22">
        <f>IF(B161="","",IFERROR(VLOOKUP(B161,'Guest Directory'!$A$5:$B$304,2,FALSE),""))</f>
        <v/>
      </c>
      <c r="D161" s="7" t="n"/>
    </row>
    <row r="162">
      <c r="A162" s="21">
        <f>IF(B162="","",ROW()-4)</f>
        <v/>
      </c>
      <c r="B162" s="7" t="n"/>
      <c r="C162" s="22">
        <f>IF(B162="","",IFERROR(VLOOKUP(B162,'Guest Directory'!$A$5:$B$304,2,FALSE),""))</f>
        <v/>
      </c>
      <c r="D162" s="7" t="n"/>
    </row>
    <row r="163">
      <c r="A163" s="21">
        <f>IF(B163="","",ROW()-4)</f>
        <v/>
      </c>
      <c r="B163" s="7" t="n"/>
      <c r="C163" s="22">
        <f>IF(B163="","",IFERROR(VLOOKUP(B163,'Guest Directory'!$A$5:$B$304,2,FALSE),""))</f>
        <v/>
      </c>
      <c r="D163" s="7" t="n"/>
    </row>
    <row r="164">
      <c r="A164" s="21">
        <f>IF(B164="","",ROW()-4)</f>
        <v/>
      </c>
      <c r="B164" s="7" t="n"/>
      <c r="C164" s="22">
        <f>IF(B164="","",IFERROR(VLOOKUP(B164,'Guest Directory'!$A$5:$B$304,2,FALSE),""))</f>
        <v/>
      </c>
      <c r="D164" s="7" t="n"/>
    </row>
    <row r="165">
      <c r="A165" s="21">
        <f>IF(B165="","",ROW()-4)</f>
        <v/>
      </c>
      <c r="B165" s="7" t="n"/>
      <c r="C165" s="22">
        <f>IF(B165="","",IFERROR(VLOOKUP(B165,'Guest Directory'!$A$5:$B$304,2,FALSE),""))</f>
        <v/>
      </c>
      <c r="D165" s="7" t="n"/>
    </row>
    <row r="166">
      <c r="A166" s="21">
        <f>IF(B166="","",ROW()-4)</f>
        <v/>
      </c>
      <c r="B166" s="7" t="n"/>
      <c r="C166" s="22">
        <f>IF(B166="","",IFERROR(VLOOKUP(B166,'Guest Directory'!$A$5:$B$304,2,FALSE),""))</f>
        <v/>
      </c>
      <c r="D166" s="7" t="n"/>
    </row>
    <row r="167">
      <c r="A167" s="21">
        <f>IF(B167="","",ROW()-4)</f>
        <v/>
      </c>
      <c r="B167" s="7" t="n"/>
      <c r="C167" s="22">
        <f>IF(B167="","",IFERROR(VLOOKUP(B167,'Guest Directory'!$A$5:$B$304,2,FALSE),""))</f>
        <v/>
      </c>
      <c r="D167" s="7" t="n"/>
    </row>
    <row r="168">
      <c r="A168" s="21">
        <f>IF(B168="","",ROW()-4)</f>
        <v/>
      </c>
      <c r="B168" s="7" t="n"/>
      <c r="C168" s="22">
        <f>IF(B168="","",IFERROR(VLOOKUP(B168,'Guest Directory'!$A$5:$B$304,2,FALSE),""))</f>
        <v/>
      </c>
      <c r="D168" s="7" t="n"/>
    </row>
    <row r="169">
      <c r="A169" s="21">
        <f>IF(B169="","",ROW()-4)</f>
        <v/>
      </c>
      <c r="B169" s="7" t="n"/>
      <c r="C169" s="22">
        <f>IF(B169="","",IFERROR(VLOOKUP(B169,'Guest Directory'!$A$5:$B$304,2,FALSE),""))</f>
        <v/>
      </c>
      <c r="D169" s="7" t="n"/>
    </row>
    <row r="170">
      <c r="A170" s="21">
        <f>IF(B170="","",ROW()-4)</f>
        <v/>
      </c>
      <c r="B170" s="7" t="n"/>
      <c r="C170" s="22">
        <f>IF(B170="","",IFERROR(VLOOKUP(B170,'Guest Directory'!$A$5:$B$304,2,FALSE),""))</f>
        <v/>
      </c>
      <c r="D170" s="7" t="n"/>
    </row>
    <row r="171">
      <c r="A171" s="21">
        <f>IF(B171="","",ROW()-4)</f>
        <v/>
      </c>
      <c r="B171" s="7" t="n"/>
      <c r="C171" s="22">
        <f>IF(B171="","",IFERROR(VLOOKUP(B171,'Guest Directory'!$A$5:$B$304,2,FALSE),""))</f>
        <v/>
      </c>
      <c r="D171" s="7" t="n"/>
    </row>
    <row r="172">
      <c r="A172" s="21">
        <f>IF(B172="","",ROW()-4)</f>
        <v/>
      </c>
      <c r="B172" s="7" t="n"/>
      <c r="C172" s="22">
        <f>IF(B172="","",IFERROR(VLOOKUP(B172,'Guest Directory'!$A$5:$B$304,2,FALSE),""))</f>
        <v/>
      </c>
      <c r="D172" s="7" t="n"/>
    </row>
    <row r="173">
      <c r="A173" s="21">
        <f>IF(B173="","",ROW()-4)</f>
        <v/>
      </c>
      <c r="B173" s="7" t="n"/>
      <c r="C173" s="22">
        <f>IF(B173="","",IFERROR(VLOOKUP(B173,'Guest Directory'!$A$5:$B$304,2,FALSE),""))</f>
        <v/>
      </c>
      <c r="D173" s="7" t="n"/>
    </row>
    <row r="174">
      <c r="A174" s="21">
        <f>IF(B174="","",ROW()-4)</f>
        <v/>
      </c>
      <c r="B174" s="7" t="n"/>
      <c r="C174" s="22">
        <f>IF(B174="","",IFERROR(VLOOKUP(B174,'Guest Directory'!$A$5:$B$304,2,FALSE),""))</f>
        <v/>
      </c>
      <c r="D174" s="7" t="n"/>
    </row>
    <row r="175">
      <c r="A175" s="21">
        <f>IF(B175="","",ROW()-4)</f>
        <v/>
      </c>
      <c r="B175" s="7" t="n"/>
      <c r="C175" s="22">
        <f>IF(B175="","",IFERROR(VLOOKUP(B175,'Guest Directory'!$A$5:$B$304,2,FALSE),""))</f>
        <v/>
      </c>
      <c r="D175" s="7" t="n"/>
    </row>
    <row r="176">
      <c r="A176" s="21">
        <f>IF(B176="","",ROW()-4)</f>
        <v/>
      </c>
      <c r="B176" s="7" t="n"/>
      <c r="C176" s="22">
        <f>IF(B176="","",IFERROR(VLOOKUP(B176,'Guest Directory'!$A$5:$B$304,2,FALSE),""))</f>
        <v/>
      </c>
      <c r="D176" s="7" t="n"/>
    </row>
    <row r="177">
      <c r="A177" s="21">
        <f>IF(B177="","",ROW()-4)</f>
        <v/>
      </c>
      <c r="B177" s="7" t="n"/>
      <c r="C177" s="22">
        <f>IF(B177="","",IFERROR(VLOOKUP(B177,'Guest Directory'!$A$5:$B$304,2,FALSE),""))</f>
        <v/>
      </c>
      <c r="D177" s="7" t="n"/>
    </row>
    <row r="178">
      <c r="A178" s="21">
        <f>IF(B178="","",ROW()-4)</f>
        <v/>
      </c>
      <c r="B178" s="7" t="n"/>
      <c r="C178" s="22">
        <f>IF(B178="","",IFERROR(VLOOKUP(B178,'Guest Directory'!$A$5:$B$304,2,FALSE),""))</f>
        <v/>
      </c>
      <c r="D178" s="7" t="n"/>
    </row>
    <row r="179">
      <c r="A179" s="21">
        <f>IF(B179="","",ROW()-4)</f>
        <v/>
      </c>
      <c r="B179" s="7" t="n"/>
      <c r="C179" s="22">
        <f>IF(B179="","",IFERROR(VLOOKUP(B179,'Guest Directory'!$A$5:$B$304,2,FALSE),""))</f>
        <v/>
      </c>
      <c r="D179" s="7" t="n"/>
    </row>
    <row r="180">
      <c r="A180" s="21">
        <f>IF(B180="","",ROW()-4)</f>
        <v/>
      </c>
      <c r="B180" s="7" t="n"/>
      <c r="C180" s="22">
        <f>IF(B180="","",IFERROR(VLOOKUP(B180,'Guest Directory'!$A$5:$B$304,2,FALSE),""))</f>
        <v/>
      </c>
      <c r="D180" s="7" t="n"/>
    </row>
    <row r="181">
      <c r="A181" s="21">
        <f>IF(B181="","",ROW()-4)</f>
        <v/>
      </c>
      <c r="B181" s="7" t="n"/>
      <c r="C181" s="22">
        <f>IF(B181="","",IFERROR(VLOOKUP(B181,'Guest Directory'!$A$5:$B$304,2,FALSE),""))</f>
        <v/>
      </c>
      <c r="D181" s="7" t="n"/>
    </row>
    <row r="182">
      <c r="A182" s="21">
        <f>IF(B182="","",ROW()-4)</f>
        <v/>
      </c>
      <c r="B182" s="7" t="n"/>
      <c r="C182" s="22">
        <f>IF(B182="","",IFERROR(VLOOKUP(B182,'Guest Directory'!$A$5:$B$304,2,FALSE),""))</f>
        <v/>
      </c>
      <c r="D182" s="7" t="n"/>
    </row>
    <row r="183">
      <c r="A183" s="21">
        <f>IF(B183="","",ROW()-4)</f>
        <v/>
      </c>
      <c r="B183" s="7" t="n"/>
      <c r="C183" s="22">
        <f>IF(B183="","",IFERROR(VLOOKUP(B183,'Guest Directory'!$A$5:$B$304,2,FALSE),""))</f>
        <v/>
      </c>
      <c r="D183" s="7" t="n"/>
    </row>
    <row r="184">
      <c r="A184" s="21">
        <f>IF(B184="","",ROW()-4)</f>
        <v/>
      </c>
      <c r="B184" s="7" t="n"/>
      <c r="C184" s="22">
        <f>IF(B184="","",IFERROR(VLOOKUP(B184,'Guest Directory'!$A$5:$B$304,2,FALSE),""))</f>
        <v/>
      </c>
      <c r="D184" s="7" t="n"/>
    </row>
    <row r="185">
      <c r="A185" s="21">
        <f>IF(B185="","",ROW()-4)</f>
        <v/>
      </c>
      <c r="B185" s="7" t="n"/>
      <c r="C185" s="22">
        <f>IF(B185="","",IFERROR(VLOOKUP(B185,'Guest Directory'!$A$5:$B$304,2,FALSE),""))</f>
        <v/>
      </c>
      <c r="D185" s="7" t="n"/>
    </row>
    <row r="186">
      <c r="A186" s="21">
        <f>IF(B186="","",ROW()-4)</f>
        <v/>
      </c>
      <c r="B186" s="7" t="n"/>
      <c r="C186" s="22">
        <f>IF(B186="","",IFERROR(VLOOKUP(B186,'Guest Directory'!$A$5:$B$304,2,FALSE),""))</f>
        <v/>
      </c>
      <c r="D186" s="7" t="n"/>
    </row>
    <row r="187">
      <c r="A187" s="21">
        <f>IF(B187="","",ROW()-4)</f>
        <v/>
      </c>
      <c r="B187" s="7" t="n"/>
      <c r="C187" s="22">
        <f>IF(B187="","",IFERROR(VLOOKUP(B187,'Guest Directory'!$A$5:$B$304,2,FALSE),""))</f>
        <v/>
      </c>
      <c r="D187" s="7" t="n"/>
    </row>
    <row r="188">
      <c r="A188" s="21">
        <f>IF(B188="","",ROW()-4)</f>
        <v/>
      </c>
      <c r="B188" s="7" t="n"/>
      <c r="C188" s="22">
        <f>IF(B188="","",IFERROR(VLOOKUP(B188,'Guest Directory'!$A$5:$B$304,2,FALSE),""))</f>
        <v/>
      </c>
      <c r="D188" s="7" t="n"/>
    </row>
    <row r="189">
      <c r="A189" s="21">
        <f>IF(B189="","",ROW()-4)</f>
        <v/>
      </c>
      <c r="B189" s="7" t="n"/>
      <c r="C189" s="22">
        <f>IF(B189="","",IFERROR(VLOOKUP(B189,'Guest Directory'!$A$5:$B$304,2,FALSE),""))</f>
        <v/>
      </c>
      <c r="D189" s="7" t="n"/>
    </row>
    <row r="190">
      <c r="A190" s="21">
        <f>IF(B190="","",ROW()-4)</f>
        <v/>
      </c>
      <c r="B190" s="7" t="n"/>
      <c r="C190" s="22">
        <f>IF(B190="","",IFERROR(VLOOKUP(B190,'Guest Directory'!$A$5:$B$304,2,FALSE),""))</f>
        <v/>
      </c>
      <c r="D190" s="7" t="n"/>
    </row>
    <row r="191">
      <c r="A191" s="21">
        <f>IF(B191="","",ROW()-4)</f>
        <v/>
      </c>
      <c r="B191" s="7" t="n"/>
      <c r="C191" s="22">
        <f>IF(B191="","",IFERROR(VLOOKUP(B191,'Guest Directory'!$A$5:$B$304,2,FALSE),""))</f>
        <v/>
      </c>
      <c r="D191" s="7" t="n"/>
    </row>
    <row r="192">
      <c r="A192" s="21">
        <f>IF(B192="","",ROW()-4)</f>
        <v/>
      </c>
      <c r="B192" s="7" t="n"/>
      <c r="C192" s="22">
        <f>IF(B192="","",IFERROR(VLOOKUP(B192,'Guest Directory'!$A$5:$B$304,2,FALSE),""))</f>
        <v/>
      </c>
      <c r="D192" s="7" t="n"/>
    </row>
    <row r="193">
      <c r="A193" s="21">
        <f>IF(B193="","",ROW()-4)</f>
        <v/>
      </c>
      <c r="B193" s="7" t="n"/>
      <c r="C193" s="22">
        <f>IF(B193="","",IFERROR(VLOOKUP(B193,'Guest Directory'!$A$5:$B$304,2,FALSE),""))</f>
        <v/>
      </c>
      <c r="D193" s="7" t="n"/>
    </row>
    <row r="194">
      <c r="A194" s="21">
        <f>IF(B194="","",ROW()-4)</f>
        <v/>
      </c>
      <c r="B194" s="7" t="n"/>
      <c r="C194" s="22">
        <f>IF(B194="","",IFERROR(VLOOKUP(B194,'Guest Directory'!$A$5:$B$304,2,FALSE),""))</f>
        <v/>
      </c>
      <c r="D194" s="7" t="n"/>
    </row>
    <row r="195">
      <c r="A195" s="21">
        <f>IF(B195="","",ROW()-4)</f>
        <v/>
      </c>
      <c r="B195" s="7" t="n"/>
      <c r="C195" s="22">
        <f>IF(B195="","",IFERROR(VLOOKUP(B195,'Guest Directory'!$A$5:$B$304,2,FALSE),""))</f>
        <v/>
      </c>
      <c r="D195" s="7" t="n"/>
    </row>
    <row r="196">
      <c r="A196" s="21">
        <f>IF(B196="","",ROW()-4)</f>
        <v/>
      </c>
      <c r="B196" s="7" t="n"/>
      <c r="C196" s="22">
        <f>IF(B196="","",IFERROR(VLOOKUP(B196,'Guest Directory'!$A$5:$B$304,2,FALSE),""))</f>
        <v/>
      </c>
      <c r="D196" s="7" t="n"/>
    </row>
    <row r="197">
      <c r="A197" s="21">
        <f>IF(B197="","",ROW()-4)</f>
        <v/>
      </c>
      <c r="B197" s="7" t="n"/>
      <c r="C197" s="22">
        <f>IF(B197="","",IFERROR(VLOOKUP(B197,'Guest Directory'!$A$5:$B$304,2,FALSE),""))</f>
        <v/>
      </c>
      <c r="D197" s="7" t="n"/>
    </row>
    <row r="198">
      <c r="A198" s="21">
        <f>IF(B198="","",ROW()-4)</f>
        <v/>
      </c>
      <c r="B198" s="7" t="n"/>
      <c r="C198" s="22">
        <f>IF(B198="","",IFERROR(VLOOKUP(B198,'Guest Directory'!$A$5:$B$304,2,FALSE),""))</f>
        <v/>
      </c>
      <c r="D198" s="7" t="n"/>
    </row>
    <row r="199">
      <c r="A199" s="21">
        <f>IF(B199="","",ROW()-4)</f>
        <v/>
      </c>
      <c r="B199" s="7" t="n"/>
      <c r="C199" s="22">
        <f>IF(B199="","",IFERROR(VLOOKUP(B199,'Guest Directory'!$A$5:$B$304,2,FALSE),""))</f>
        <v/>
      </c>
      <c r="D199" s="7" t="n"/>
    </row>
    <row r="200">
      <c r="A200" s="21">
        <f>IF(B200="","",ROW()-4)</f>
        <v/>
      </c>
      <c r="B200" s="7" t="n"/>
      <c r="C200" s="22">
        <f>IF(B200="","",IFERROR(VLOOKUP(B200,'Guest Directory'!$A$5:$B$304,2,FALSE),""))</f>
        <v/>
      </c>
      <c r="D200" s="7" t="n"/>
    </row>
    <row r="201">
      <c r="A201" s="21">
        <f>IF(B201="","",ROW()-4)</f>
        <v/>
      </c>
      <c r="B201" s="7" t="n"/>
      <c r="C201" s="22">
        <f>IF(B201="","",IFERROR(VLOOKUP(B201,'Guest Directory'!$A$5:$B$304,2,FALSE),""))</f>
        <v/>
      </c>
      <c r="D201" s="7" t="n"/>
    </row>
    <row r="202">
      <c r="A202" s="21">
        <f>IF(B202="","",ROW()-4)</f>
        <v/>
      </c>
      <c r="B202" s="7" t="n"/>
      <c r="C202" s="22">
        <f>IF(B202="","",IFERROR(VLOOKUP(B202,'Guest Directory'!$A$5:$B$304,2,FALSE),""))</f>
        <v/>
      </c>
      <c r="D202" s="7" t="n"/>
    </row>
    <row r="203">
      <c r="A203" s="21">
        <f>IF(B203="","",ROW()-4)</f>
        <v/>
      </c>
      <c r="B203" s="7" t="n"/>
      <c r="C203" s="22">
        <f>IF(B203="","",IFERROR(VLOOKUP(B203,'Guest Directory'!$A$5:$B$304,2,FALSE),""))</f>
        <v/>
      </c>
      <c r="D203" s="7" t="n"/>
    </row>
    <row r="204">
      <c r="A204" s="21">
        <f>IF(B204="","",ROW()-4)</f>
        <v/>
      </c>
      <c r="B204" s="7" t="n"/>
      <c r="C204" s="22">
        <f>IF(B204="","",IFERROR(VLOOKUP(B204,'Guest Directory'!$A$5:$B$304,2,FALSE),""))</f>
        <v/>
      </c>
      <c r="D204" s="7" t="n"/>
    </row>
    <row r="205">
      <c r="A205" s="21">
        <f>IF(B205="","",ROW()-4)</f>
        <v/>
      </c>
      <c r="B205" s="7" t="n"/>
      <c r="C205" s="22">
        <f>IF(B205="","",IFERROR(VLOOKUP(B205,'Guest Directory'!$A$5:$B$304,2,FALSE),""))</f>
        <v/>
      </c>
      <c r="D205" s="7" t="n"/>
    </row>
    <row r="206">
      <c r="A206" s="21">
        <f>IF(B206="","",ROW()-4)</f>
        <v/>
      </c>
      <c r="B206" s="7" t="n"/>
      <c r="C206" s="22">
        <f>IF(B206="","",IFERROR(VLOOKUP(B206,'Guest Directory'!$A$5:$B$304,2,FALSE),""))</f>
        <v/>
      </c>
      <c r="D206" s="7" t="n"/>
    </row>
    <row r="207">
      <c r="A207" s="21">
        <f>IF(B207="","",ROW()-4)</f>
        <v/>
      </c>
      <c r="B207" s="7" t="n"/>
      <c r="C207" s="22">
        <f>IF(B207="","",IFERROR(VLOOKUP(B207,'Guest Directory'!$A$5:$B$304,2,FALSE),""))</f>
        <v/>
      </c>
      <c r="D207" s="7" t="n"/>
    </row>
    <row r="208">
      <c r="A208" s="21">
        <f>IF(B208="","",ROW()-4)</f>
        <v/>
      </c>
      <c r="B208" s="7" t="n"/>
      <c r="C208" s="22">
        <f>IF(B208="","",IFERROR(VLOOKUP(B208,'Guest Directory'!$A$5:$B$304,2,FALSE),""))</f>
        <v/>
      </c>
      <c r="D208" s="7" t="n"/>
    </row>
    <row r="209">
      <c r="A209" s="21">
        <f>IF(B209="","",ROW()-4)</f>
        <v/>
      </c>
      <c r="B209" s="7" t="n"/>
      <c r="C209" s="22">
        <f>IF(B209="","",IFERROR(VLOOKUP(B209,'Guest Directory'!$A$5:$B$304,2,FALSE),""))</f>
        <v/>
      </c>
      <c r="D209" s="7" t="n"/>
    </row>
    <row r="210">
      <c r="A210" s="21">
        <f>IF(B210="","",ROW()-4)</f>
        <v/>
      </c>
      <c r="B210" s="7" t="n"/>
      <c r="C210" s="22">
        <f>IF(B210="","",IFERROR(VLOOKUP(B210,'Guest Directory'!$A$5:$B$304,2,FALSE),""))</f>
        <v/>
      </c>
      <c r="D210" s="7" t="n"/>
    </row>
    <row r="211">
      <c r="A211" s="21">
        <f>IF(B211="","",ROW()-4)</f>
        <v/>
      </c>
      <c r="B211" s="7" t="n"/>
      <c r="C211" s="22">
        <f>IF(B211="","",IFERROR(VLOOKUP(B211,'Guest Directory'!$A$5:$B$304,2,FALSE),""))</f>
        <v/>
      </c>
      <c r="D211" s="7" t="n"/>
    </row>
    <row r="212">
      <c r="A212" s="21">
        <f>IF(B212="","",ROW()-4)</f>
        <v/>
      </c>
      <c r="B212" s="7" t="n"/>
      <c r="C212" s="22">
        <f>IF(B212="","",IFERROR(VLOOKUP(B212,'Guest Directory'!$A$5:$B$304,2,FALSE),""))</f>
        <v/>
      </c>
      <c r="D212" s="7" t="n"/>
    </row>
    <row r="213">
      <c r="A213" s="21">
        <f>IF(B213="","",ROW()-4)</f>
        <v/>
      </c>
      <c r="B213" s="7" t="n"/>
      <c r="C213" s="22">
        <f>IF(B213="","",IFERROR(VLOOKUP(B213,'Guest Directory'!$A$5:$B$304,2,FALSE),""))</f>
        <v/>
      </c>
      <c r="D213" s="7" t="n"/>
    </row>
    <row r="214">
      <c r="A214" s="21">
        <f>IF(B214="","",ROW()-4)</f>
        <v/>
      </c>
      <c r="B214" s="7" t="n"/>
      <c r="C214" s="22">
        <f>IF(B214="","",IFERROR(VLOOKUP(B214,'Guest Directory'!$A$5:$B$304,2,FALSE),""))</f>
        <v/>
      </c>
      <c r="D214" s="7" t="n"/>
    </row>
    <row r="215">
      <c r="A215" s="21">
        <f>IF(B215="","",ROW()-4)</f>
        <v/>
      </c>
      <c r="B215" s="7" t="n"/>
      <c r="C215" s="22">
        <f>IF(B215="","",IFERROR(VLOOKUP(B215,'Guest Directory'!$A$5:$B$304,2,FALSE),""))</f>
        <v/>
      </c>
      <c r="D215" s="7" t="n"/>
    </row>
    <row r="216">
      <c r="A216" s="21">
        <f>IF(B216="","",ROW()-4)</f>
        <v/>
      </c>
      <c r="B216" s="7" t="n"/>
      <c r="C216" s="22">
        <f>IF(B216="","",IFERROR(VLOOKUP(B216,'Guest Directory'!$A$5:$B$304,2,FALSE),""))</f>
        <v/>
      </c>
      <c r="D216" s="7" t="n"/>
    </row>
    <row r="217">
      <c r="A217" s="21">
        <f>IF(B217="","",ROW()-4)</f>
        <v/>
      </c>
      <c r="B217" s="7" t="n"/>
      <c r="C217" s="22">
        <f>IF(B217="","",IFERROR(VLOOKUP(B217,'Guest Directory'!$A$5:$B$304,2,FALSE),""))</f>
        <v/>
      </c>
      <c r="D217" s="7" t="n"/>
    </row>
    <row r="218">
      <c r="A218" s="21">
        <f>IF(B218="","",ROW()-4)</f>
        <v/>
      </c>
      <c r="B218" s="7" t="n"/>
      <c r="C218" s="22">
        <f>IF(B218="","",IFERROR(VLOOKUP(B218,'Guest Directory'!$A$5:$B$304,2,FALSE),""))</f>
        <v/>
      </c>
      <c r="D218" s="7" t="n"/>
    </row>
    <row r="219">
      <c r="A219" s="21">
        <f>IF(B219="","",ROW()-4)</f>
        <v/>
      </c>
      <c r="B219" s="7" t="n"/>
      <c r="C219" s="22">
        <f>IF(B219="","",IFERROR(VLOOKUP(B219,'Guest Directory'!$A$5:$B$304,2,FALSE),""))</f>
        <v/>
      </c>
      <c r="D219" s="7" t="n"/>
    </row>
    <row r="220">
      <c r="A220" s="21">
        <f>IF(B220="","",ROW()-4)</f>
        <v/>
      </c>
      <c r="B220" s="7" t="n"/>
      <c r="C220" s="22">
        <f>IF(B220="","",IFERROR(VLOOKUP(B220,'Guest Directory'!$A$5:$B$304,2,FALSE),""))</f>
        <v/>
      </c>
      <c r="D220" s="7" t="n"/>
    </row>
    <row r="221">
      <c r="A221" s="21">
        <f>IF(B221="","",ROW()-4)</f>
        <v/>
      </c>
      <c r="B221" s="7" t="n"/>
      <c r="C221" s="22">
        <f>IF(B221="","",IFERROR(VLOOKUP(B221,'Guest Directory'!$A$5:$B$304,2,FALSE),""))</f>
        <v/>
      </c>
      <c r="D221" s="7" t="n"/>
    </row>
    <row r="222">
      <c r="A222" s="21">
        <f>IF(B222="","",ROW()-4)</f>
        <v/>
      </c>
      <c r="B222" s="7" t="n"/>
      <c r="C222" s="22">
        <f>IF(B222="","",IFERROR(VLOOKUP(B222,'Guest Directory'!$A$5:$B$304,2,FALSE),""))</f>
        <v/>
      </c>
      <c r="D222" s="7" t="n"/>
    </row>
    <row r="223">
      <c r="A223" s="21">
        <f>IF(B223="","",ROW()-4)</f>
        <v/>
      </c>
      <c r="B223" s="7" t="n"/>
      <c r="C223" s="22">
        <f>IF(B223="","",IFERROR(VLOOKUP(B223,'Guest Directory'!$A$5:$B$304,2,FALSE),""))</f>
        <v/>
      </c>
      <c r="D223" s="7" t="n"/>
    </row>
    <row r="224">
      <c r="A224" s="21">
        <f>IF(B224="","",ROW()-4)</f>
        <v/>
      </c>
      <c r="B224" s="7" t="n"/>
      <c r="C224" s="22">
        <f>IF(B224="","",IFERROR(VLOOKUP(B224,'Guest Directory'!$A$5:$B$304,2,FALSE),""))</f>
        <v/>
      </c>
      <c r="D224" s="7" t="n"/>
    </row>
    <row r="225">
      <c r="A225" s="21">
        <f>IF(B225="","",ROW()-4)</f>
        <v/>
      </c>
      <c r="B225" s="7" t="n"/>
      <c r="C225" s="22">
        <f>IF(B225="","",IFERROR(VLOOKUP(B225,'Guest Directory'!$A$5:$B$304,2,FALSE),""))</f>
        <v/>
      </c>
      <c r="D225" s="7" t="n"/>
    </row>
    <row r="226">
      <c r="A226" s="21">
        <f>IF(B226="","",ROW()-4)</f>
        <v/>
      </c>
      <c r="B226" s="7" t="n"/>
      <c r="C226" s="22">
        <f>IF(B226="","",IFERROR(VLOOKUP(B226,'Guest Directory'!$A$5:$B$304,2,FALSE),""))</f>
        <v/>
      </c>
      <c r="D226" s="7" t="n"/>
    </row>
    <row r="227">
      <c r="A227" s="21">
        <f>IF(B227="","",ROW()-4)</f>
        <v/>
      </c>
      <c r="B227" s="7" t="n"/>
      <c r="C227" s="22">
        <f>IF(B227="","",IFERROR(VLOOKUP(B227,'Guest Directory'!$A$5:$B$304,2,FALSE),""))</f>
        <v/>
      </c>
      <c r="D227" s="7" t="n"/>
    </row>
    <row r="228">
      <c r="A228" s="21">
        <f>IF(B228="","",ROW()-4)</f>
        <v/>
      </c>
      <c r="B228" s="7" t="n"/>
      <c r="C228" s="22">
        <f>IF(B228="","",IFERROR(VLOOKUP(B228,'Guest Directory'!$A$5:$B$304,2,FALSE),""))</f>
        <v/>
      </c>
      <c r="D228" s="7" t="n"/>
    </row>
    <row r="229">
      <c r="A229" s="21">
        <f>IF(B229="","",ROW()-4)</f>
        <v/>
      </c>
      <c r="B229" s="7" t="n"/>
      <c r="C229" s="22">
        <f>IF(B229="","",IFERROR(VLOOKUP(B229,'Guest Directory'!$A$5:$B$304,2,FALSE),""))</f>
        <v/>
      </c>
      <c r="D229" s="7" t="n"/>
    </row>
    <row r="230">
      <c r="A230" s="21">
        <f>IF(B230="","",ROW()-4)</f>
        <v/>
      </c>
      <c r="B230" s="7" t="n"/>
      <c r="C230" s="22">
        <f>IF(B230="","",IFERROR(VLOOKUP(B230,'Guest Directory'!$A$5:$B$304,2,FALSE),""))</f>
        <v/>
      </c>
      <c r="D230" s="7" t="n"/>
    </row>
    <row r="231">
      <c r="A231" s="21">
        <f>IF(B231="","",ROW()-4)</f>
        <v/>
      </c>
      <c r="B231" s="7" t="n"/>
      <c r="C231" s="22">
        <f>IF(B231="","",IFERROR(VLOOKUP(B231,'Guest Directory'!$A$5:$B$304,2,FALSE),""))</f>
        <v/>
      </c>
      <c r="D231" s="7" t="n"/>
    </row>
    <row r="232">
      <c r="A232" s="21">
        <f>IF(B232="","",ROW()-4)</f>
        <v/>
      </c>
      <c r="B232" s="7" t="n"/>
      <c r="C232" s="22">
        <f>IF(B232="","",IFERROR(VLOOKUP(B232,'Guest Directory'!$A$5:$B$304,2,FALSE),""))</f>
        <v/>
      </c>
      <c r="D232" s="7" t="n"/>
    </row>
    <row r="233">
      <c r="A233" s="21">
        <f>IF(B233="","",ROW()-4)</f>
        <v/>
      </c>
      <c r="B233" s="7" t="n"/>
      <c r="C233" s="22">
        <f>IF(B233="","",IFERROR(VLOOKUP(B233,'Guest Directory'!$A$5:$B$304,2,FALSE),""))</f>
        <v/>
      </c>
      <c r="D233" s="7" t="n"/>
    </row>
    <row r="234">
      <c r="A234" s="21">
        <f>IF(B234="","",ROW()-4)</f>
        <v/>
      </c>
      <c r="B234" s="7" t="n"/>
      <c r="C234" s="22">
        <f>IF(B234="","",IFERROR(VLOOKUP(B234,'Guest Directory'!$A$5:$B$304,2,FALSE),""))</f>
        <v/>
      </c>
      <c r="D234" s="7" t="n"/>
    </row>
    <row r="235">
      <c r="A235" s="21">
        <f>IF(B235="","",ROW()-4)</f>
        <v/>
      </c>
      <c r="B235" s="7" t="n"/>
      <c r="C235" s="22">
        <f>IF(B235="","",IFERROR(VLOOKUP(B235,'Guest Directory'!$A$5:$B$304,2,FALSE),""))</f>
        <v/>
      </c>
      <c r="D235" s="7" t="n"/>
    </row>
    <row r="236">
      <c r="A236" s="21">
        <f>IF(B236="","",ROW()-4)</f>
        <v/>
      </c>
      <c r="B236" s="7" t="n"/>
      <c r="C236" s="22">
        <f>IF(B236="","",IFERROR(VLOOKUP(B236,'Guest Directory'!$A$5:$B$304,2,FALSE),""))</f>
        <v/>
      </c>
      <c r="D236" s="7" t="n"/>
    </row>
    <row r="237">
      <c r="A237" s="21">
        <f>IF(B237="","",ROW()-4)</f>
        <v/>
      </c>
      <c r="B237" s="7" t="n"/>
      <c r="C237" s="22">
        <f>IF(B237="","",IFERROR(VLOOKUP(B237,'Guest Directory'!$A$5:$B$304,2,FALSE),""))</f>
        <v/>
      </c>
      <c r="D237" s="7" t="n"/>
    </row>
    <row r="238">
      <c r="A238" s="21">
        <f>IF(B238="","",ROW()-4)</f>
        <v/>
      </c>
      <c r="B238" s="7" t="n"/>
      <c r="C238" s="22">
        <f>IF(B238="","",IFERROR(VLOOKUP(B238,'Guest Directory'!$A$5:$B$304,2,FALSE),""))</f>
        <v/>
      </c>
      <c r="D238" s="7" t="n"/>
    </row>
    <row r="239">
      <c r="A239" s="21">
        <f>IF(B239="","",ROW()-4)</f>
        <v/>
      </c>
      <c r="B239" s="7" t="n"/>
      <c r="C239" s="22">
        <f>IF(B239="","",IFERROR(VLOOKUP(B239,'Guest Directory'!$A$5:$B$304,2,FALSE),""))</f>
        <v/>
      </c>
      <c r="D239" s="7" t="n"/>
    </row>
    <row r="240">
      <c r="A240" s="21">
        <f>IF(B240="","",ROW()-4)</f>
        <v/>
      </c>
      <c r="B240" s="7" t="n"/>
      <c r="C240" s="22">
        <f>IF(B240="","",IFERROR(VLOOKUP(B240,'Guest Directory'!$A$5:$B$304,2,FALSE),""))</f>
        <v/>
      </c>
      <c r="D240" s="7" t="n"/>
    </row>
    <row r="241">
      <c r="A241" s="21">
        <f>IF(B241="","",ROW()-4)</f>
        <v/>
      </c>
      <c r="B241" s="7" t="n"/>
      <c r="C241" s="22">
        <f>IF(B241="","",IFERROR(VLOOKUP(B241,'Guest Directory'!$A$5:$B$304,2,FALSE),""))</f>
        <v/>
      </c>
      <c r="D241" s="7" t="n"/>
    </row>
    <row r="242">
      <c r="A242" s="21">
        <f>IF(B242="","",ROW()-4)</f>
        <v/>
      </c>
      <c r="B242" s="7" t="n"/>
      <c r="C242" s="22">
        <f>IF(B242="","",IFERROR(VLOOKUP(B242,'Guest Directory'!$A$5:$B$304,2,FALSE),""))</f>
        <v/>
      </c>
      <c r="D242" s="7" t="n"/>
    </row>
    <row r="243">
      <c r="A243" s="21">
        <f>IF(B243="","",ROW()-4)</f>
        <v/>
      </c>
      <c r="B243" s="7" t="n"/>
      <c r="C243" s="22">
        <f>IF(B243="","",IFERROR(VLOOKUP(B243,'Guest Directory'!$A$5:$B$304,2,FALSE),""))</f>
        <v/>
      </c>
      <c r="D243" s="7" t="n"/>
    </row>
    <row r="244">
      <c r="A244" s="21">
        <f>IF(B244="","",ROW()-4)</f>
        <v/>
      </c>
      <c r="B244" s="7" t="n"/>
      <c r="C244" s="22">
        <f>IF(B244="","",IFERROR(VLOOKUP(B244,'Guest Directory'!$A$5:$B$304,2,FALSE),""))</f>
        <v/>
      </c>
      <c r="D244" s="7" t="n"/>
    </row>
    <row r="245">
      <c r="A245" s="21">
        <f>IF(B245="","",ROW()-4)</f>
        <v/>
      </c>
      <c r="B245" s="7" t="n"/>
      <c r="C245" s="22">
        <f>IF(B245="","",IFERROR(VLOOKUP(B245,'Guest Directory'!$A$5:$B$304,2,FALSE),""))</f>
        <v/>
      </c>
      <c r="D245" s="7" t="n"/>
    </row>
    <row r="246">
      <c r="A246" s="21">
        <f>IF(B246="","",ROW()-4)</f>
        <v/>
      </c>
      <c r="B246" s="7" t="n"/>
      <c r="C246" s="22">
        <f>IF(B246="","",IFERROR(VLOOKUP(B246,'Guest Directory'!$A$5:$B$304,2,FALSE),""))</f>
        <v/>
      </c>
      <c r="D246" s="7" t="n"/>
    </row>
    <row r="247">
      <c r="A247" s="21">
        <f>IF(B247="","",ROW()-4)</f>
        <v/>
      </c>
      <c r="B247" s="7" t="n"/>
      <c r="C247" s="22">
        <f>IF(B247="","",IFERROR(VLOOKUP(B247,'Guest Directory'!$A$5:$B$304,2,FALSE),""))</f>
        <v/>
      </c>
      <c r="D247" s="7" t="n"/>
    </row>
    <row r="248">
      <c r="A248" s="21">
        <f>IF(B248="","",ROW()-4)</f>
        <v/>
      </c>
      <c r="B248" s="7" t="n"/>
      <c r="C248" s="22">
        <f>IF(B248="","",IFERROR(VLOOKUP(B248,'Guest Directory'!$A$5:$B$304,2,FALSE),""))</f>
        <v/>
      </c>
      <c r="D248" s="7" t="n"/>
    </row>
    <row r="249">
      <c r="A249" s="21">
        <f>IF(B249="","",ROW()-4)</f>
        <v/>
      </c>
      <c r="B249" s="7" t="n"/>
      <c r="C249" s="22">
        <f>IF(B249="","",IFERROR(VLOOKUP(B249,'Guest Directory'!$A$5:$B$304,2,FALSE),""))</f>
        <v/>
      </c>
      <c r="D249" s="7" t="n"/>
    </row>
    <row r="250">
      <c r="A250" s="21">
        <f>IF(B250="","",ROW()-4)</f>
        <v/>
      </c>
      <c r="B250" s="7" t="n"/>
      <c r="C250" s="22">
        <f>IF(B250="","",IFERROR(VLOOKUP(B250,'Guest Directory'!$A$5:$B$304,2,FALSE),""))</f>
        <v/>
      </c>
      <c r="D250" s="7" t="n"/>
    </row>
    <row r="251">
      <c r="A251" s="21">
        <f>IF(B251="","",ROW()-4)</f>
        <v/>
      </c>
      <c r="B251" s="7" t="n"/>
      <c r="C251" s="22">
        <f>IF(B251="","",IFERROR(VLOOKUP(B251,'Guest Directory'!$A$5:$B$304,2,FALSE),""))</f>
        <v/>
      </c>
      <c r="D251" s="7" t="n"/>
    </row>
    <row r="252">
      <c r="A252" s="21">
        <f>IF(B252="","",ROW()-4)</f>
        <v/>
      </c>
      <c r="B252" s="7" t="n"/>
      <c r="C252" s="22">
        <f>IF(B252="","",IFERROR(VLOOKUP(B252,'Guest Directory'!$A$5:$B$304,2,FALSE),""))</f>
        <v/>
      </c>
      <c r="D252" s="7" t="n"/>
    </row>
    <row r="253">
      <c r="A253" s="21">
        <f>IF(B253="","",ROW()-4)</f>
        <v/>
      </c>
      <c r="B253" s="7" t="n"/>
      <c r="C253" s="22">
        <f>IF(B253="","",IFERROR(VLOOKUP(B253,'Guest Directory'!$A$5:$B$304,2,FALSE),""))</f>
        <v/>
      </c>
      <c r="D253" s="7" t="n"/>
    </row>
    <row r="254">
      <c r="A254" s="21">
        <f>IF(B254="","",ROW()-4)</f>
        <v/>
      </c>
      <c r="B254" s="7" t="n"/>
      <c r="C254" s="22">
        <f>IF(B254="","",IFERROR(VLOOKUP(B254,'Guest Directory'!$A$5:$B$304,2,FALSE),""))</f>
        <v/>
      </c>
      <c r="D254" s="7" t="n"/>
    </row>
    <row r="255">
      <c r="A255" s="21">
        <f>IF(B255="","",ROW()-4)</f>
        <v/>
      </c>
      <c r="B255" s="7" t="n"/>
      <c r="C255" s="22">
        <f>IF(B255="","",IFERROR(VLOOKUP(B255,'Guest Directory'!$A$5:$B$304,2,FALSE),""))</f>
        <v/>
      </c>
      <c r="D255" s="7" t="n"/>
    </row>
    <row r="256">
      <c r="A256" s="21">
        <f>IF(B256="","",ROW()-4)</f>
        <v/>
      </c>
      <c r="B256" s="7" t="n"/>
      <c r="C256" s="22">
        <f>IF(B256="","",IFERROR(VLOOKUP(B256,'Guest Directory'!$A$5:$B$304,2,FALSE),""))</f>
        <v/>
      </c>
      <c r="D256" s="7" t="n"/>
    </row>
    <row r="257">
      <c r="A257" s="21">
        <f>IF(B257="","",ROW()-4)</f>
        <v/>
      </c>
      <c r="B257" s="7" t="n"/>
      <c r="C257" s="22">
        <f>IF(B257="","",IFERROR(VLOOKUP(B257,'Guest Directory'!$A$5:$B$304,2,FALSE),""))</f>
        <v/>
      </c>
      <c r="D257" s="7" t="n"/>
    </row>
    <row r="258">
      <c r="A258" s="21">
        <f>IF(B258="","",ROW()-4)</f>
        <v/>
      </c>
      <c r="B258" s="7" t="n"/>
      <c r="C258" s="22">
        <f>IF(B258="","",IFERROR(VLOOKUP(B258,'Guest Directory'!$A$5:$B$304,2,FALSE),""))</f>
        <v/>
      </c>
      <c r="D258" s="7" t="n"/>
    </row>
    <row r="259">
      <c r="A259" s="21">
        <f>IF(B259="","",ROW()-4)</f>
        <v/>
      </c>
      <c r="B259" s="7" t="n"/>
      <c r="C259" s="22">
        <f>IF(B259="","",IFERROR(VLOOKUP(B259,'Guest Directory'!$A$5:$B$304,2,FALSE),""))</f>
        <v/>
      </c>
      <c r="D259" s="7" t="n"/>
    </row>
    <row r="260">
      <c r="A260" s="21">
        <f>IF(B260="","",ROW()-4)</f>
        <v/>
      </c>
      <c r="B260" s="7" t="n"/>
      <c r="C260" s="22">
        <f>IF(B260="","",IFERROR(VLOOKUP(B260,'Guest Directory'!$A$5:$B$304,2,FALSE),""))</f>
        <v/>
      </c>
      <c r="D260" s="7" t="n"/>
    </row>
    <row r="261">
      <c r="A261" s="21">
        <f>IF(B261="","",ROW()-4)</f>
        <v/>
      </c>
      <c r="B261" s="7" t="n"/>
      <c r="C261" s="22">
        <f>IF(B261="","",IFERROR(VLOOKUP(B261,'Guest Directory'!$A$5:$B$304,2,FALSE),""))</f>
        <v/>
      </c>
      <c r="D261" s="7" t="n"/>
    </row>
    <row r="262">
      <c r="A262" s="21">
        <f>IF(B262="","",ROW()-4)</f>
        <v/>
      </c>
      <c r="B262" s="7" t="n"/>
      <c r="C262" s="22">
        <f>IF(B262="","",IFERROR(VLOOKUP(B262,'Guest Directory'!$A$5:$B$304,2,FALSE),""))</f>
        <v/>
      </c>
      <c r="D262" s="7" t="n"/>
    </row>
    <row r="263">
      <c r="A263" s="21">
        <f>IF(B263="","",ROW()-4)</f>
        <v/>
      </c>
      <c r="B263" s="7" t="n"/>
      <c r="C263" s="22">
        <f>IF(B263="","",IFERROR(VLOOKUP(B263,'Guest Directory'!$A$5:$B$304,2,FALSE),""))</f>
        <v/>
      </c>
      <c r="D263" s="7" t="n"/>
    </row>
    <row r="264">
      <c r="A264" s="21">
        <f>IF(B264="","",ROW()-4)</f>
        <v/>
      </c>
      <c r="B264" s="7" t="n"/>
      <c r="C264" s="22">
        <f>IF(B264="","",IFERROR(VLOOKUP(B264,'Guest Directory'!$A$5:$B$304,2,FALSE),""))</f>
        <v/>
      </c>
      <c r="D264" s="7" t="n"/>
    </row>
    <row r="265">
      <c r="A265" s="21">
        <f>IF(B265="","",ROW()-4)</f>
        <v/>
      </c>
      <c r="B265" s="7" t="n"/>
      <c r="C265" s="22">
        <f>IF(B265="","",IFERROR(VLOOKUP(B265,'Guest Directory'!$A$5:$B$304,2,FALSE),""))</f>
        <v/>
      </c>
      <c r="D265" s="7" t="n"/>
    </row>
    <row r="266">
      <c r="A266" s="21">
        <f>IF(B266="","",ROW()-4)</f>
        <v/>
      </c>
      <c r="B266" s="7" t="n"/>
      <c r="C266" s="22">
        <f>IF(B266="","",IFERROR(VLOOKUP(B266,'Guest Directory'!$A$5:$B$304,2,FALSE),""))</f>
        <v/>
      </c>
      <c r="D266" s="7" t="n"/>
    </row>
    <row r="267">
      <c r="A267" s="21">
        <f>IF(B267="","",ROW()-4)</f>
        <v/>
      </c>
      <c r="B267" s="7" t="n"/>
      <c r="C267" s="22">
        <f>IF(B267="","",IFERROR(VLOOKUP(B267,'Guest Directory'!$A$5:$B$304,2,FALSE),""))</f>
        <v/>
      </c>
      <c r="D267" s="7" t="n"/>
    </row>
    <row r="268">
      <c r="A268" s="21">
        <f>IF(B268="","",ROW()-4)</f>
        <v/>
      </c>
      <c r="B268" s="7" t="n"/>
      <c r="C268" s="22">
        <f>IF(B268="","",IFERROR(VLOOKUP(B268,'Guest Directory'!$A$5:$B$304,2,FALSE),""))</f>
        <v/>
      </c>
      <c r="D268" s="7" t="n"/>
    </row>
    <row r="269">
      <c r="A269" s="21">
        <f>IF(B269="","",ROW()-4)</f>
        <v/>
      </c>
      <c r="B269" s="7" t="n"/>
      <c r="C269" s="22">
        <f>IF(B269="","",IFERROR(VLOOKUP(B269,'Guest Directory'!$A$5:$B$304,2,FALSE),""))</f>
        <v/>
      </c>
      <c r="D269" s="7" t="n"/>
    </row>
    <row r="270">
      <c r="A270" s="21">
        <f>IF(B270="","",ROW()-4)</f>
        <v/>
      </c>
      <c r="B270" s="7" t="n"/>
      <c r="C270" s="22">
        <f>IF(B270="","",IFERROR(VLOOKUP(B270,'Guest Directory'!$A$5:$B$304,2,FALSE),""))</f>
        <v/>
      </c>
      <c r="D270" s="7" t="n"/>
    </row>
    <row r="271">
      <c r="A271" s="21">
        <f>IF(B271="","",ROW()-4)</f>
        <v/>
      </c>
      <c r="B271" s="7" t="n"/>
      <c r="C271" s="22">
        <f>IF(B271="","",IFERROR(VLOOKUP(B271,'Guest Directory'!$A$5:$B$304,2,FALSE),""))</f>
        <v/>
      </c>
      <c r="D271" s="7" t="n"/>
    </row>
    <row r="272">
      <c r="A272" s="21">
        <f>IF(B272="","",ROW()-4)</f>
        <v/>
      </c>
      <c r="B272" s="7" t="n"/>
      <c r="C272" s="22">
        <f>IF(B272="","",IFERROR(VLOOKUP(B272,'Guest Directory'!$A$5:$B$304,2,FALSE),""))</f>
        <v/>
      </c>
      <c r="D272" s="7" t="n"/>
    </row>
    <row r="273">
      <c r="A273" s="21">
        <f>IF(B273="","",ROW()-4)</f>
        <v/>
      </c>
      <c r="B273" s="7" t="n"/>
      <c r="C273" s="22">
        <f>IF(B273="","",IFERROR(VLOOKUP(B273,'Guest Directory'!$A$5:$B$304,2,FALSE),""))</f>
        <v/>
      </c>
      <c r="D273" s="7" t="n"/>
    </row>
    <row r="274">
      <c r="A274" s="21">
        <f>IF(B274="","",ROW()-4)</f>
        <v/>
      </c>
      <c r="B274" s="7" t="n"/>
      <c r="C274" s="22">
        <f>IF(B274="","",IFERROR(VLOOKUP(B274,'Guest Directory'!$A$5:$B$304,2,FALSE),""))</f>
        <v/>
      </c>
      <c r="D274" s="7" t="n"/>
    </row>
    <row r="275">
      <c r="A275" s="21">
        <f>IF(B275="","",ROW()-4)</f>
        <v/>
      </c>
      <c r="B275" s="7" t="n"/>
      <c r="C275" s="22">
        <f>IF(B275="","",IFERROR(VLOOKUP(B275,'Guest Directory'!$A$5:$B$304,2,FALSE),""))</f>
        <v/>
      </c>
      <c r="D275" s="7" t="n"/>
    </row>
    <row r="276">
      <c r="A276" s="21">
        <f>IF(B276="","",ROW()-4)</f>
        <v/>
      </c>
      <c r="B276" s="7" t="n"/>
      <c r="C276" s="22">
        <f>IF(B276="","",IFERROR(VLOOKUP(B276,'Guest Directory'!$A$5:$B$304,2,FALSE),""))</f>
        <v/>
      </c>
      <c r="D276" s="7" t="n"/>
    </row>
    <row r="277">
      <c r="A277" s="21">
        <f>IF(B277="","",ROW()-4)</f>
        <v/>
      </c>
      <c r="B277" s="7" t="n"/>
      <c r="C277" s="22">
        <f>IF(B277="","",IFERROR(VLOOKUP(B277,'Guest Directory'!$A$5:$B$304,2,FALSE),""))</f>
        <v/>
      </c>
      <c r="D277" s="7" t="n"/>
    </row>
    <row r="278">
      <c r="A278" s="21">
        <f>IF(B278="","",ROW()-4)</f>
        <v/>
      </c>
      <c r="B278" s="7" t="n"/>
      <c r="C278" s="22">
        <f>IF(B278="","",IFERROR(VLOOKUP(B278,'Guest Directory'!$A$5:$B$304,2,FALSE),""))</f>
        <v/>
      </c>
      <c r="D278" s="7" t="n"/>
    </row>
    <row r="279">
      <c r="A279" s="21">
        <f>IF(B279="","",ROW()-4)</f>
        <v/>
      </c>
      <c r="B279" s="7" t="n"/>
      <c r="C279" s="22">
        <f>IF(B279="","",IFERROR(VLOOKUP(B279,'Guest Directory'!$A$5:$B$304,2,FALSE),""))</f>
        <v/>
      </c>
      <c r="D279" s="7" t="n"/>
    </row>
    <row r="280">
      <c r="A280" s="21">
        <f>IF(B280="","",ROW()-4)</f>
        <v/>
      </c>
      <c r="B280" s="7" t="n"/>
      <c r="C280" s="22">
        <f>IF(B280="","",IFERROR(VLOOKUP(B280,'Guest Directory'!$A$5:$B$304,2,FALSE),""))</f>
        <v/>
      </c>
      <c r="D280" s="7" t="n"/>
    </row>
    <row r="281">
      <c r="A281" s="21">
        <f>IF(B281="","",ROW()-4)</f>
        <v/>
      </c>
      <c r="B281" s="7" t="n"/>
      <c r="C281" s="22">
        <f>IF(B281="","",IFERROR(VLOOKUP(B281,'Guest Directory'!$A$5:$B$304,2,FALSE),""))</f>
        <v/>
      </c>
      <c r="D281" s="7" t="n"/>
    </row>
    <row r="282">
      <c r="A282" s="21">
        <f>IF(B282="","",ROW()-4)</f>
        <v/>
      </c>
      <c r="B282" s="7" t="n"/>
      <c r="C282" s="22">
        <f>IF(B282="","",IFERROR(VLOOKUP(B282,'Guest Directory'!$A$5:$B$304,2,FALSE),""))</f>
        <v/>
      </c>
      <c r="D282" s="7" t="n"/>
    </row>
    <row r="283">
      <c r="A283" s="21">
        <f>IF(B283="","",ROW()-4)</f>
        <v/>
      </c>
      <c r="B283" s="7" t="n"/>
      <c r="C283" s="22">
        <f>IF(B283="","",IFERROR(VLOOKUP(B283,'Guest Directory'!$A$5:$B$304,2,FALSE),""))</f>
        <v/>
      </c>
      <c r="D283" s="7" t="n"/>
    </row>
    <row r="284">
      <c r="A284" s="21">
        <f>IF(B284="","",ROW()-4)</f>
        <v/>
      </c>
      <c r="B284" s="7" t="n"/>
      <c r="C284" s="22">
        <f>IF(B284="","",IFERROR(VLOOKUP(B284,'Guest Directory'!$A$5:$B$304,2,FALSE),""))</f>
        <v/>
      </c>
      <c r="D284" s="7" t="n"/>
    </row>
    <row r="285">
      <c r="A285" s="21">
        <f>IF(B285="","",ROW()-4)</f>
        <v/>
      </c>
      <c r="B285" s="7" t="n"/>
      <c r="C285" s="22">
        <f>IF(B285="","",IFERROR(VLOOKUP(B285,'Guest Directory'!$A$5:$B$304,2,FALSE),""))</f>
        <v/>
      </c>
      <c r="D285" s="7" t="n"/>
    </row>
    <row r="286">
      <c r="A286" s="21">
        <f>IF(B286="","",ROW()-4)</f>
        <v/>
      </c>
      <c r="B286" s="7" t="n"/>
      <c r="C286" s="22">
        <f>IF(B286="","",IFERROR(VLOOKUP(B286,'Guest Directory'!$A$5:$B$304,2,FALSE),""))</f>
        <v/>
      </c>
      <c r="D286" s="7" t="n"/>
    </row>
    <row r="287">
      <c r="A287" s="21">
        <f>IF(B287="","",ROW()-4)</f>
        <v/>
      </c>
      <c r="B287" s="7" t="n"/>
      <c r="C287" s="22">
        <f>IF(B287="","",IFERROR(VLOOKUP(B287,'Guest Directory'!$A$5:$B$304,2,FALSE),""))</f>
        <v/>
      </c>
      <c r="D287" s="7" t="n"/>
    </row>
    <row r="288">
      <c r="A288" s="21">
        <f>IF(B288="","",ROW()-4)</f>
        <v/>
      </c>
      <c r="B288" s="7" t="n"/>
      <c r="C288" s="22">
        <f>IF(B288="","",IFERROR(VLOOKUP(B288,'Guest Directory'!$A$5:$B$304,2,FALSE),""))</f>
        <v/>
      </c>
      <c r="D288" s="7" t="n"/>
    </row>
    <row r="289">
      <c r="A289" s="21">
        <f>IF(B289="","",ROW()-4)</f>
        <v/>
      </c>
      <c r="B289" s="7" t="n"/>
      <c r="C289" s="22">
        <f>IF(B289="","",IFERROR(VLOOKUP(B289,'Guest Directory'!$A$5:$B$304,2,FALSE),""))</f>
        <v/>
      </c>
      <c r="D289" s="7" t="n"/>
    </row>
    <row r="290">
      <c r="A290" s="21">
        <f>IF(B290="","",ROW()-4)</f>
        <v/>
      </c>
      <c r="B290" s="7" t="n"/>
      <c r="C290" s="22">
        <f>IF(B290="","",IFERROR(VLOOKUP(B290,'Guest Directory'!$A$5:$B$304,2,FALSE),""))</f>
        <v/>
      </c>
      <c r="D290" s="7" t="n"/>
    </row>
    <row r="291">
      <c r="A291" s="21">
        <f>IF(B291="","",ROW()-4)</f>
        <v/>
      </c>
      <c r="B291" s="7" t="n"/>
      <c r="C291" s="22">
        <f>IF(B291="","",IFERROR(VLOOKUP(B291,'Guest Directory'!$A$5:$B$304,2,FALSE),""))</f>
        <v/>
      </c>
      <c r="D291" s="7" t="n"/>
    </row>
    <row r="292">
      <c r="A292" s="21">
        <f>IF(B292="","",ROW()-4)</f>
        <v/>
      </c>
      <c r="B292" s="7" t="n"/>
      <c r="C292" s="22">
        <f>IF(B292="","",IFERROR(VLOOKUP(B292,'Guest Directory'!$A$5:$B$304,2,FALSE),""))</f>
        <v/>
      </c>
      <c r="D292" s="7" t="n"/>
    </row>
    <row r="293">
      <c r="A293" s="21">
        <f>IF(B293="","",ROW()-4)</f>
        <v/>
      </c>
      <c r="B293" s="7" t="n"/>
      <c r="C293" s="22">
        <f>IF(B293="","",IFERROR(VLOOKUP(B293,'Guest Directory'!$A$5:$B$304,2,FALSE),""))</f>
        <v/>
      </c>
      <c r="D293" s="7" t="n"/>
    </row>
    <row r="294">
      <c r="A294" s="21">
        <f>IF(B294="","",ROW()-4)</f>
        <v/>
      </c>
      <c r="B294" s="7" t="n"/>
      <c r="C294" s="22">
        <f>IF(B294="","",IFERROR(VLOOKUP(B294,'Guest Directory'!$A$5:$B$304,2,FALSE),""))</f>
        <v/>
      </c>
      <c r="D294" s="7" t="n"/>
    </row>
    <row r="295">
      <c r="A295" s="21">
        <f>IF(B295="","",ROW()-4)</f>
        <v/>
      </c>
      <c r="B295" s="7" t="n"/>
      <c r="C295" s="22">
        <f>IF(B295="","",IFERROR(VLOOKUP(B295,'Guest Directory'!$A$5:$B$304,2,FALSE),""))</f>
        <v/>
      </c>
      <c r="D295" s="7" t="n"/>
    </row>
    <row r="296">
      <c r="A296" s="21">
        <f>IF(B296="","",ROW()-4)</f>
        <v/>
      </c>
      <c r="B296" s="7" t="n"/>
      <c r="C296" s="22">
        <f>IF(B296="","",IFERROR(VLOOKUP(B296,'Guest Directory'!$A$5:$B$304,2,FALSE),""))</f>
        <v/>
      </c>
      <c r="D296" s="7" t="n"/>
    </row>
    <row r="297">
      <c r="A297" s="21">
        <f>IF(B297="","",ROW()-4)</f>
        <v/>
      </c>
      <c r="B297" s="7" t="n"/>
      <c r="C297" s="22">
        <f>IF(B297="","",IFERROR(VLOOKUP(B297,'Guest Directory'!$A$5:$B$304,2,FALSE),""))</f>
        <v/>
      </c>
      <c r="D297" s="7" t="n"/>
    </row>
    <row r="298">
      <c r="A298" s="21">
        <f>IF(B298="","",ROW()-4)</f>
        <v/>
      </c>
      <c r="B298" s="7" t="n"/>
      <c r="C298" s="22">
        <f>IF(B298="","",IFERROR(VLOOKUP(B298,'Guest Directory'!$A$5:$B$304,2,FALSE),""))</f>
        <v/>
      </c>
      <c r="D298" s="7" t="n"/>
    </row>
    <row r="299">
      <c r="A299" s="21">
        <f>IF(B299="","",ROW()-4)</f>
        <v/>
      </c>
      <c r="B299" s="7" t="n"/>
      <c r="C299" s="22">
        <f>IF(B299="","",IFERROR(VLOOKUP(B299,'Guest Directory'!$A$5:$B$304,2,FALSE),""))</f>
        <v/>
      </c>
      <c r="D299" s="7" t="n"/>
    </row>
    <row r="300">
      <c r="A300" s="21">
        <f>IF(B300="","",ROW()-4)</f>
        <v/>
      </c>
      <c r="B300" s="7" t="n"/>
      <c r="C300" s="22">
        <f>IF(B300="","",IFERROR(VLOOKUP(B300,'Guest Directory'!$A$5:$B$304,2,FALSE),""))</f>
        <v/>
      </c>
      <c r="D300" s="7" t="n"/>
    </row>
    <row r="301">
      <c r="A301" s="21">
        <f>IF(B301="","",ROW()-4)</f>
        <v/>
      </c>
      <c r="B301" s="7" t="n"/>
      <c r="C301" s="22">
        <f>IF(B301="","",IFERROR(VLOOKUP(B301,'Guest Directory'!$A$5:$B$304,2,FALSE),""))</f>
        <v/>
      </c>
      <c r="D301" s="7" t="n"/>
    </row>
    <row r="302">
      <c r="A302" s="21">
        <f>IF(B302="","",ROW()-4)</f>
        <v/>
      </c>
      <c r="B302" s="7" t="n"/>
      <c r="C302" s="22">
        <f>IF(B302="","",IFERROR(VLOOKUP(B302,'Guest Directory'!$A$5:$B$304,2,FALSE),""))</f>
        <v/>
      </c>
      <c r="D302" s="7" t="n"/>
    </row>
    <row r="303">
      <c r="A303" s="21">
        <f>IF(B303="","",ROW()-4)</f>
        <v/>
      </c>
      <c r="B303" s="7" t="n"/>
      <c r="C303" s="22">
        <f>IF(B303="","",IFERROR(VLOOKUP(B303,'Guest Directory'!$A$5:$B$304,2,FALSE),""))</f>
        <v/>
      </c>
      <c r="D303" s="7" t="n"/>
    </row>
    <row r="304">
      <c r="A304" s="21">
        <f>IF(B304="","",ROW()-4)</f>
        <v/>
      </c>
      <c r="B304" s="7" t="n"/>
      <c r="C304" s="22">
        <f>IF(B304="","",IFERROR(VLOOKUP(B304,'Guest Directory'!$A$5:$B$304,2,FALSE),""))</f>
        <v/>
      </c>
      <c r="D304" s="7" t="n"/>
    </row>
  </sheetData>
  <conditionalFormatting sqref="C5:C304">
    <cfRule type="cellIs" priority="1" operator="lessThan" dxfId="0">
      <formula>0</formula>
    </cfRule>
  </conditionalFormatting>
  <dataValidations count="2">
    <dataValidation sqref="B5:B304" showDropDown="0" showInputMessage="1" showErrorMessage="0" allowBlank="1" promptTitle="Choose or type a guest" prompt="Choose a shared guest, or type a new name. Add new shared names to Guest Directory." type="list">
      <formula1>=GuestDirectoryNames</formula1>
    </dataValidation>
    <dataValidation sqref="C5:C304" showDropDown="0" showInputMessage="1" showErrorMessage="1" allowBlank="1" errorTitle="Whole numbers only" error="Use a whole number from 0 to 999." promptTitle="Enter a headcount" prompt="Enter a whole number from 0 to 999." type="whole" operator="between">
      <formula1>0</formula1>
      <formula2>999</formula2>
    </dataValidation>
  </dataValidations>
  <pageMargins left="0.75" right="0.75" top="1" bottom="1" header="0.5" footer="0.5"/>
  <pageSetup orientation="landscape" fitToWidth="1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tabColor rgb="0070AD47"/>
    <outlinePr summaryBelow="1" summaryRight="1"/>
    <pageSetUpPr fitToPage="1"/>
  </sheetPr>
  <dimension ref="A1:G304"/>
  <sheetViews>
    <sheetView zoomScale="9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38" customWidth="1" min="2" max="2"/>
    <col width="34" customWidth="1" min="3" max="3"/>
    <col width="32" customWidth="1" min="4" max="4"/>
    <col width="3" customWidth="1" min="5" max="5"/>
    <col width="26" customWidth="1" min="6" max="6"/>
    <col width="15" customWidth="1" min="7" max="7"/>
  </cols>
  <sheetData>
    <row r="1" ht="27" customHeight="1">
      <c r="A1" s="14" t="inlineStr">
        <is>
          <t>Sangeet Guest List</t>
        </is>
      </c>
    </row>
    <row r="2">
      <c r="A2" s="15" t="inlineStr">
        <is>
          <t>Pick an existing name from the dropdown or type a new name. The headcount fills from Guest Directory when available and remains editable.</t>
        </is>
      </c>
      <c r="F2" s="18" t="inlineStr">
        <is>
          <t>Guest entries</t>
        </is>
      </c>
      <c r="G2" s="19">
        <f>COUNTIF(B5:B304,"?*")</f>
        <v/>
      </c>
    </row>
    <row r="3">
      <c r="A3" s="16">
        <f>HYPERLINK("#Summary!A1","← Back to Summary")</f>
        <v/>
      </c>
      <c r="F3" s="18" t="inlineStr">
        <is>
          <t>Total guests</t>
        </is>
      </c>
      <c r="G3" s="19">
        <f>SUM(C5:C304)</f>
        <v/>
      </c>
    </row>
    <row r="4" ht="34" customHeight="1">
      <c r="A4" s="6" t="inlineStr">
        <is>
          <t>S.No</t>
        </is>
      </c>
      <c r="B4" s="6" t="inlineStr">
        <is>
          <t>Guest Name</t>
        </is>
      </c>
      <c r="C4" s="6" t="inlineStr">
        <is>
          <t>Family Members / Total People</t>
        </is>
      </c>
      <c r="D4" s="6" t="inlineStr">
        <is>
          <t>Notes</t>
        </is>
      </c>
      <c r="F4" s="20" t="inlineStr">
        <is>
          <t>Count each party exactly as you want it included in the total.</t>
        </is>
      </c>
    </row>
    <row r="5">
      <c r="A5" s="21">
        <f>IF(B5="","",ROW()-4)</f>
        <v/>
      </c>
      <c r="B5" s="7" t="n"/>
      <c r="C5" s="22">
        <f>IF(B5="","",IFERROR(VLOOKUP(B5,'Guest Directory'!$A$5:$B$304,2,FALSE),""))</f>
        <v/>
      </c>
      <c r="D5" s="7" t="n"/>
    </row>
    <row r="6">
      <c r="A6" s="21">
        <f>IF(B6="","",ROW()-4)</f>
        <v/>
      </c>
      <c r="B6" s="7" t="n"/>
      <c r="C6" s="22">
        <f>IF(B6="","",IFERROR(VLOOKUP(B6,'Guest Directory'!$A$5:$B$304,2,FALSE),""))</f>
        <v/>
      </c>
      <c r="D6" s="7" t="n"/>
    </row>
    <row r="7">
      <c r="A7" s="21">
        <f>IF(B7="","",ROW()-4)</f>
        <v/>
      </c>
      <c r="B7" s="7" t="n"/>
      <c r="C7" s="22">
        <f>IF(B7="","",IFERROR(VLOOKUP(B7,'Guest Directory'!$A$5:$B$304,2,FALSE),""))</f>
        <v/>
      </c>
      <c r="D7" s="7" t="n"/>
    </row>
    <row r="8">
      <c r="A8" s="21">
        <f>IF(B8="","",ROW()-4)</f>
        <v/>
      </c>
      <c r="B8" s="7" t="n"/>
      <c r="C8" s="22">
        <f>IF(B8="","",IFERROR(VLOOKUP(B8,'Guest Directory'!$A$5:$B$304,2,FALSE),""))</f>
        <v/>
      </c>
      <c r="D8" s="7" t="n"/>
    </row>
    <row r="9">
      <c r="A9" s="21">
        <f>IF(B9="","",ROW()-4)</f>
        <v/>
      </c>
      <c r="B9" s="7" t="n"/>
      <c r="C9" s="22">
        <f>IF(B9="","",IFERROR(VLOOKUP(B9,'Guest Directory'!$A$5:$B$304,2,FALSE),""))</f>
        <v/>
      </c>
      <c r="D9" s="7" t="n"/>
    </row>
    <row r="10">
      <c r="A10" s="21">
        <f>IF(B10="","",ROW()-4)</f>
        <v/>
      </c>
      <c r="B10" s="7" t="n"/>
      <c r="C10" s="22">
        <f>IF(B10="","",IFERROR(VLOOKUP(B10,'Guest Directory'!$A$5:$B$304,2,FALSE),""))</f>
        <v/>
      </c>
      <c r="D10" s="7" t="n"/>
    </row>
    <row r="11">
      <c r="A11" s="21">
        <f>IF(B11="","",ROW()-4)</f>
        <v/>
      </c>
      <c r="B11" s="7" t="n"/>
      <c r="C11" s="22">
        <f>IF(B11="","",IFERROR(VLOOKUP(B11,'Guest Directory'!$A$5:$B$304,2,FALSE),""))</f>
        <v/>
      </c>
      <c r="D11" s="7" t="n"/>
    </row>
    <row r="12">
      <c r="A12" s="21">
        <f>IF(B12="","",ROW()-4)</f>
        <v/>
      </c>
      <c r="B12" s="7" t="n"/>
      <c r="C12" s="22">
        <f>IF(B12="","",IFERROR(VLOOKUP(B12,'Guest Directory'!$A$5:$B$304,2,FALSE),""))</f>
        <v/>
      </c>
      <c r="D12" s="7" t="n"/>
    </row>
    <row r="13">
      <c r="A13" s="21">
        <f>IF(B13="","",ROW()-4)</f>
        <v/>
      </c>
      <c r="B13" s="7" t="n"/>
      <c r="C13" s="22">
        <f>IF(B13="","",IFERROR(VLOOKUP(B13,'Guest Directory'!$A$5:$B$304,2,FALSE),""))</f>
        <v/>
      </c>
      <c r="D13" s="7" t="n"/>
    </row>
    <row r="14">
      <c r="A14" s="21">
        <f>IF(B14="","",ROW()-4)</f>
        <v/>
      </c>
      <c r="B14" s="7" t="n"/>
      <c r="C14" s="22">
        <f>IF(B14="","",IFERROR(VLOOKUP(B14,'Guest Directory'!$A$5:$B$304,2,FALSE),""))</f>
        <v/>
      </c>
      <c r="D14" s="7" t="n"/>
    </row>
    <row r="15">
      <c r="A15" s="21">
        <f>IF(B15="","",ROW()-4)</f>
        <v/>
      </c>
      <c r="B15" s="7" t="n"/>
      <c r="C15" s="22">
        <f>IF(B15="","",IFERROR(VLOOKUP(B15,'Guest Directory'!$A$5:$B$304,2,FALSE),""))</f>
        <v/>
      </c>
      <c r="D15" s="7" t="n"/>
    </row>
    <row r="16">
      <c r="A16" s="21">
        <f>IF(B16="","",ROW()-4)</f>
        <v/>
      </c>
      <c r="B16" s="7" t="n"/>
      <c r="C16" s="22">
        <f>IF(B16="","",IFERROR(VLOOKUP(B16,'Guest Directory'!$A$5:$B$304,2,FALSE),""))</f>
        <v/>
      </c>
      <c r="D16" s="7" t="n"/>
    </row>
    <row r="17">
      <c r="A17" s="21">
        <f>IF(B17="","",ROW()-4)</f>
        <v/>
      </c>
      <c r="B17" s="7" t="n"/>
      <c r="C17" s="22">
        <f>IF(B17="","",IFERROR(VLOOKUP(B17,'Guest Directory'!$A$5:$B$304,2,FALSE),""))</f>
        <v/>
      </c>
      <c r="D17" s="7" t="n"/>
    </row>
    <row r="18">
      <c r="A18" s="21">
        <f>IF(B18="","",ROW()-4)</f>
        <v/>
      </c>
      <c r="B18" s="7" t="n"/>
      <c r="C18" s="22">
        <f>IF(B18="","",IFERROR(VLOOKUP(B18,'Guest Directory'!$A$5:$B$304,2,FALSE),""))</f>
        <v/>
      </c>
      <c r="D18" s="7" t="n"/>
    </row>
    <row r="19">
      <c r="A19" s="21">
        <f>IF(B19="","",ROW()-4)</f>
        <v/>
      </c>
      <c r="B19" s="7" t="n"/>
      <c r="C19" s="22">
        <f>IF(B19="","",IFERROR(VLOOKUP(B19,'Guest Directory'!$A$5:$B$304,2,FALSE),""))</f>
        <v/>
      </c>
      <c r="D19" s="7" t="n"/>
    </row>
    <row r="20">
      <c r="A20" s="21">
        <f>IF(B20="","",ROW()-4)</f>
        <v/>
      </c>
      <c r="B20" s="7" t="n"/>
      <c r="C20" s="22">
        <f>IF(B20="","",IFERROR(VLOOKUP(B20,'Guest Directory'!$A$5:$B$304,2,FALSE),""))</f>
        <v/>
      </c>
      <c r="D20" s="7" t="n"/>
    </row>
    <row r="21">
      <c r="A21" s="21">
        <f>IF(B21="","",ROW()-4)</f>
        <v/>
      </c>
      <c r="B21" s="7" t="n"/>
      <c r="C21" s="22">
        <f>IF(B21="","",IFERROR(VLOOKUP(B21,'Guest Directory'!$A$5:$B$304,2,FALSE),""))</f>
        <v/>
      </c>
      <c r="D21" s="7" t="n"/>
    </row>
    <row r="22">
      <c r="A22" s="21">
        <f>IF(B22="","",ROW()-4)</f>
        <v/>
      </c>
      <c r="B22" s="7" t="n"/>
      <c r="C22" s="22">
        <f>IF(B22="","",IFERROR(VLOOKUP(B22,'Guest Directory'!$A$5:$B$304,2,FALSE),""))</f>
        <v/>
      </c>
      <c r="D22" s="7" t="n"/>
    </row>
    <row r="23">
      <c r="A23" s="21">
        <f>IF(B23="","",ROW()-4)</f>
        <v/>
      </c>
      <c r="B23" s="7" t="n"/>
      <c r="C23" s="22">
        <f>IF(B23="","",IFERROR(VLOOKUP(B23,'Guest Directory'!$A$5:$B$304,2,FALSE),""))</f>
        <v/>
      </c>
      <c r="D23" s="7" t="n"/>
    </row>
    <row r="24">
      <c r="A24" s="21">
        <f>IF(B24="","",ROW()-4)</f>
        <v/>
      </c>
      <c r="B24" s="7" t="n"/>
      <c r="C24" s="22">
        <f>IF(B24="","",IFERROR(VLOOKUP(B24,'Guest Directory'!$A$5:$B$304,2,FALSE),""))</f>
        <v/>
      </c>
      <c r="D24" s="7" t="n"/>
    </row>
    <row r="25">
      <c r="A25" s="21">
        <f>IF(B25="","",ROW()-4)</f>
        <v/>
      </c>
      <c r="B25" s="7" t="n"/>
      <c r="C25" s="22">
        <f>IF(B25="","",IFERROR(VLOOKUP(B25,'Guest Directory'!$A$5:$B$304,2,FALSE),""))</f>
        <v/>
      </c>
      <c r="D25" s="7" t="n"/>
    </row>
    <row r="26">
      <c r="A26" s="21">
        <f>IF(B26="","",ROW()-4)</f>
        <v/>
      </c>
      <c r="B26" s="7" t="n"/>
      <c r="C26" s="22">
        <f>IF(B26="","",IFERROR(VLOOKUP(B26,'Guest Directory'!$A$5:$B$304,2,FALSE),""))</f>
        <v/>
      </c>
      <c r="D26" s="7" t="n"/>
    </row>
    <row r="27">
      <c r="A27" s="21">
        <f>IF(B27="","",ROW()-4)</f>
        <v/>
      </c>
      <c r="B27" s="7" t="n"/>
      <c r="C27" s="22">
        <f>IF(B27="","",IFERROR(VLOOKUP(B27,'Guest Directory'!$A$5:$B$304,2,FALSE),""))</f>
        <v/>
      </c>
      <c r="D27" s="7" t="n"/>
    </row>
    <row r="28">
      <c r="A28" s="21">
        <f>IF(B28="","",ROW()-4)</f>
        <v/>
      </c>
      <c r="B28" s="7" t="n"/>
      <c r="C28" s="22">
        <f>IF(B28="","",IFERROR(VLOOKUP(B28,'Guest Directory'!$A$5:$B$304,2,FALSE),""))</f>
        <v/>
      </c>
      <c r="D28" s="7" t="n"/>
    </row>
    <row r="29">
      <c r="A29" s="21">
        <f>IF(B29="","",ROW()-4)</f>
        <v/>
      </c>
      <c r="B29" s="7" t="n"/>
      <c r="C29" s="22">
        <f>IF(B29="","",IFERROR(VLOOKUP(B29,'Guest Directory'!$A$5:$B$304,2,FALSE),""))</f>
        <v/>
      </c>
      <c r="D29" s="7" t="n"/>
    </row>
    <row r="30">
      <c r="A30" s="21">
        <f>IF(B30="","",ROW()-4)</f>
        <v/>
      </c>
      <c r="B30" s="7" t="n"/>
      <c r="C30" s="22">
        <f>IF(B30="","",IFERROR(VLOOKUP(B30,'Guest Directory'!$A$5:$B$304,2,FALSE),""))</f>
        <v/>
      </c>
      <c r="D30" s="7" t="n"/>
    </row>
    <row r="31">
      <c r="A31" s="21">
        <f>IF(B31="","",ROW()-4)</f>
        <v/>
      </c>
      <c r="B31" s="7" t="n"/>
      <c r="C31" s="22">
        <f>IF(B31="","",IFERROR(VLOOKUP(B31,'Guest Directory'!$A$5:$B$304,2,FALSE),""))</f>
        <v/>
      </c>
      <c r="D31" s="7" t="n"/>
    </row>
    <row r="32">
      <c r="A32" s="21">
        <f>IF(B32="","",ROW()-4)</f>
        <v/>
      </c>
      <c r="B32" s="7" t="n"/>
      <c r="C32" s="22">
        <f>IF(B32="","",IFERROR(VLOOKUP(B32,'Guest Directory'!$A$5:$B$304,2,FALSE),""))</f>
        <v/>
      </c>
      <c r="D32" s="7" t="n"/>
    </row>
    <row r="33">
      <c r="A33" s="21">
        <f>IF(B33="","",ROW()-4)</f>
        <v/>
      </c>
      <c r="B33" s="7" t="n"/>
      <c r="C33" s="22">
        <f>IF(B33="","",IFERROR(VLOOKUP(B33,'Guest Directory'!$A$5:$B$304,2,FALSE),""))</f>
        <v/>
      </c>
      <c r="D33" s="7" t="n"/>
    </row>
    <row r="34">
      <c r="A34" s="21">
        <f>IF(B34="","",ROW()-4)</f>
        <v/>
      </c>
      <c r="B34" s="7" t="n"/>
      <c r="C34" s="22">
        <f>IF(B34="","",IFERROR(VLOOKUP(B34,'Guest Directory'!$A$5:$B$304,2,FALSE),""))</f>
        <v/>
      </c>
      <c r="D34" s="7" t="n"/>
    </row>
    <row r="35">
      <c r="A35" s="21">
        <f>IF(B35="","",ROW()-4)</f>
        <v/>
      </c>
      <c r="B35" s="7" t="n"/>
      <c r="C35" s="22">
        <f>IF(B35="","",IFERROR(VLOOKUP(B35,'Guest Directory'!$A$5:$B$304,2,FALSE),""))</f>
        <v/>
      </c>
      <c r="D35" s="7" t="n"/>
    </row>
    <row r="36">
      <c r="A36" s="21">
        <f>IF(B36="","",ROW()-4)</f>
        <v/>
      </c>
      <c r="B36" s="7" t="n"/>
      <c r="C36" s="22">
        <f>IF(B36="","",IFERROR(VLOOKUP(B36,'Guest Directory'!$A$5:$B$304,2,FALSE),""))</f>
        <v/>
      </c>
      <c r="D36" s="7" t="n"/>
    </row>
    <row r="37">
      <c r="A37" s="21">
        <f>IF(B37="","",ROW()-4)</f>
        <v/>
      </c>
      <c r="B37" s="7" t="n"/>
      <c r="C37" s="22">
        <f>IF(B37="","",IFERROR(VLOOKUP(B37,'Guest Directory'!$A$5:$B$304,2,FALSE),""))</f>
        <v/>
      </c>
      <c r="D37" s="7" t="n"/>
    </row>
    <row r="38">
      <c r="A38" s="21">
        <f>IF(B38="","",ROW()-4)</f>
        <v/>
      </c>
      <c r="B38" s="7" t="n"/>
      <c r="C38" s="22">
        <f>IF(B38="","",IFERROR(VLOOKUP(B38,'Guest Directory'!$A$5:$B$304,2,FALSE),""))</f>
        <v/>
      </c>
      <c r="D38" s="7" t="n"/>
    </row>
    <row r="39">
      <c r="A39" s="21">
        <f>IF(B39="","",ROW()-4)</f>
        <v/>
      </c>
      <c r="B39" s="7" t="n"/>
      <c r="C39" s="22">
        <f>IF(B39="","",IFERROR(VLOOKUP(B39,'Guest Directory'!$A$5:$B$304,2,FALSE),""))</f>
        <v/>
      </c>
      <c r="D39" s="7" t="n"/>
    </row>
    <row r="40">
      <c r="A40" s="21">
        <f>IF(B40="","",ROW()-4)</f>
        <v/>
      </c>
      <c r="B40" s="7" t="n"/>
      <c r="C40" s="22">
        <f>IF(B40="","",IFERROR(VLOOKUP(B40,'Guest Directory'!$A$5:$B$304,2,FALSE),""))</f>
        <v/>
      </c>
      <c r="D40" s="7" t="n"/>
    </row>
    <row r="41">
      <c r="A41" s="21">
        <f>IF(B41="","",ROW()-4)</f>
        <v/>
      </c>
      <c r="B41" s="7" t="n"/>
      <c r="C41" s="22">
        <f>IF(B41="","",IFERROR(VLOOKUP(B41,'Guest Directory'!$A$5:$B$304,2,FALSE),""))</f>
        <v/>
      </c>
      <c r="D41" s="7" t="n"/>
    </row>
    <row r="42">
      <c r="A42" s="21">
        <f>IF(B42="","",ROW()-4)</f>
        <v/>
      </c>
      <c r="B42" s="7" t="n"/>
      <c r="C42" s="22">
        <f>IF(B42="","",IFERROR(VLOOKUP(B42,'Guest Directory'!$A$5:$B$304,2,FALSE),""))</f>
        <v/>
      </c>
      <c r="D42" s="7" t="n"/>
    </row>
    <row r="43">
      <c r="A43" s="21">
        <f>IF(B43="","",ROW()-4)</f>
        <v/>
      </c>
      <c r="B43" s="7" t="n"/>
      <c r="C43" s="22">
        <f>IF(B43="","",IFERROR(VLOOKUP(B43,'Guest Directory'!$A$5:$B$304,2,FALSE),""))</f>
        <v/>
      </c>
      <c r="D43" s="7" t="n"/>
    </row>
    <row r="44">
      <c r="A44" s="21">
        <f>IF(B44="","",ROW()-4)</f>
        <v/>
      </c>
      <c r="B44" s="7" t="n"/>
      <c r="C44" s="22">
        <f>IF(B44="","",IFERROR(VLOOKUP(B44,'Guest Directory'!$A$5:$B$304,2,FALSE),""))</f>
        <v/>
      </c>
      <c r="D44" s="7" t="n"/>
    </row>
    <row r="45">
      <c r="A45" s="21">
        <f>IF(B45="","",ROW()-4)</f>
        <v/>
      </c>
      <c r="B45" s="7" t="n"/>
      <c r="C45" s="22">
        <f>IF(B45="","",IFERROR(VLOOKUP(B45,'Guest Directory'!$A$5:$B$304,2,FALSE),""))</f>
        <v/>
      </c>
      <c r="D45" s="7" t="n"/>
    </row>
    <row r="46">
      <c r="A46" s="21">
        <f>IF(B46="","",ROW()-4)</f>
        <v/>
      </c>
      <c r="B46" s="7" t="n"/>
      <c r="C46" s="22">
        <f>IF(B46="","",IFERROR(VLOOKUP(B46,'Guest Directory'!$A$5:$B$304,2,FALSE),""))</f>
        <v/>
      </c>
      <c r="D46" s="7" t="n"/>
    </row>
    <row r="47">
      <c r="A47" s="21">
        <f>IF(B47="","",ROW()-4)</f>
        <v/>
      </c>
      <c r="B47" s="7" t="n"/>
      <c r="C47" s="22">
        <f>IF(B47="","",IFERROR(VLOOKUP(B47,'Guest Directory'!$A$5:$B$304,2,FALSE),""))</f>
        <v/>
      </c>
      <c r="D47" s="7" t="n"/>
    </row>
    <row r="48">
      <c r="A48" s="21">
        <f>IF(B48="","",ROW()-4)</f>
        <v/>
      </c>
      <c r="B48" s="7" t="n"/>
      <c r="C48" s="22">
        <f>IF(B48="","",IFERROR(VLOOKUP(B48,'Guest Directory'!$A$5:$B$304,2,FALSE),""))</f>
        <v/>
      </c>
      <c r="D48" s="7" t="n"/>
    </row>
    <row r="49">
      <c r="A49" s="21">
        <f>IF(B49="","",ROW()-4)</f>
        <v/>
      </c>
      <c r="B49" s="7" t="n"/>
      <c r="C49" s="22">
        <f>IF(B49="","",IFERROR(VLOOKUP(B49,'Guest Directory'!$A$5:$B$304,2,FALSE),""))</f>
        <v/>
      </c>
      <c r="D49" s="7" t="n"/>
    </row>
    <row r="50">
      <c r="A50" s="21">
        <f>IF(B50="","",ROW()-4)</f>
        <v/>
      </c>
      <c r="B50" s="7" t="n"/>
      <c r="C50" s="22">
        <f>IF(B50="","",IFERROR(VLOOKUP(B50,'Guest Directory'!$A$5:$B$304,2,FALSE),""))</f>
        <v/>
      </c>
      <c r="D50" s="7" t="n"/>
    </row>
    <row r="51">
      <c r="A51" s="21">
        <f>IF(B51="","",ROW()-4)</f>
        <v/>
      </c>
      <c r="B51" s="7" t="n"/>
      <c r="C51" s="22">
        <f>IF(B51="","",IFERROR(VLOOKUP(B51,'Guest Directory'!$A$5:$B$304,2,FALSE),""))</f>
        <v/>
      </c>
      <c r="D51" s="7" t="n"/>
    </row>
    <row r="52">
      <c r="A52" s="21">
        <f>IF(B52="","",ROW()-4)</f>
        <v/>
      </c>
      <c r="B52" s="7" t="n"/>
      <c r="C52" s="22">
        <f>IF(B52="","",IFERROR(VLOOKUP(B52,'Guest Directory'!$A$5:$B$304,2,FALSE),""))</f>
        <v/>
      </c>
      <c r="D52" s="7" t="n"/>
    </row>
    <row r="53">
      <c r="A53" s="21">
        <f>IF(B53="","",ROW()-4)</f>
        <v/>
      </c>
      <c r="B53" s="7" t="n"/>
      <c r="C53" s="22">
        <f>IF(B53="","",IFERROR(VLOOKUP(B53,'Guest Directory'!$A$5:$B$304,2,FALSE),""))</f>
        <v/>
      </c>
      <c r="D53" s="7" t="n"/>
    </row>
    <row r="54">
      <c r="A54" s="21">
        <f>IF(B54="","",ROW()-4)</f>
        <v/>
      </c>
      <c r="B54" s="7" t="n"/>
      <c r="C54" s="22">
        <f>IF(B54="","",IFERROR(VLOOKUP(B54,'Guest Directory'!$A$5:$B$304,2,FALSE),""))</f>
        <v/>
      </c>
      <c r="D54" s="7" t="n"/>
    </row>
    <row r="55">
      <c r="A55" s="21">
        <f>IF(B55="","",ROW()-4)</f>
        <v/>
      </c>
      <c r="B55" s="7" t="n"/>
      <c r="C55" s="22">
        <f>IF(B55="","",IFERROR(VLOOKUP(B55,'Guest Directory'!$A$5:$B$304,2,FALSE),""))</f>
        <v/>
      </c>
      <c r="D55" s="7" t="n"/>
    </row>
    <row r="56">
      <c r="A56" s="21">
        <f>IF(B56="","",ROW()-4)</f>
        <v/>
      </c>
      <c r="B56" s="7" t="n"/>
      <c r="C56" s="22">
        <f>IF(B56="","",IFERROR(VLOOKUP(B56,'Guest Directory'!$A$5:$B$304,2,FALSE),""))</f>
        <v/>
      </c>
      <c r="D56" s="7" t="n"/>
    </row>
    <row r="57">
      <c r="A57" s="21">
        <f>IF(B57="","",ROW()-4)</f>
        <v/>
      </c>
      <c r="B57" s="7" t="n"/>
      <c r="C57" s="22">
        <f>IF(B57="","",IFERROR(VLOOKUP(B57,'Guest Directory'!$A$5:$B$304,2,FALSE),""))</f>
        <v/>
      </c>
      <c r="D57" s="7" t="n"/>
    </row>
    <row r="58">
      <c r="A58" s="21">
        <f>IF(B58="","",ROW()-4)</f>
        <v/>
      </c>
      <c r="B58" s="7" t="n"/>
      <c r="C58" s="22">
        <f>IF(B58="","",IFERROR(VLOOKUP(B58,'Guest Directory'!$A$5:$B$304,2,FALSE),""))</f>
        <v/>
      </c>
      <c r="D58" s="7" t="n"/>
    </row>
    <row r="59">
      <c r="A59" s="21">
        <f>IF(B59="","",ROW()-4)</f>
        <v/>
      </c>
      <c r="B59" s="7" t="n"/>
      <c r="C59" s="22">
        <f>IF(B59="","",IFERROR(VLOOKUP(B59,'Guest Directory'!$A$5:$B$304,2,FALSE),""))</f>
        <v/>
      </c>
      <c r="D59" s="7" t="n"/>
    </row>
    <row r="60">
      <c r="A60" s="21">
        <f>IF(B60="","",ROW()-4)</f>
        <v/>
      </c>
      <c r="B60" s="7" t="n"/>
      <c r="C60" s="22">
        <f>IF(B60="","",IFERROR(VLOOKUP(B60,'Guest Directory'!$A$5:$B$304,2,FALSE),""))</f>
        <v/>
      </c>
      <c r="D60" s="7" t="n"/>
    </row>
    <row r="61">
      <c r="A61" s="21">
        <f>IF(B61="","",ROW()-4)</f>
        <v/>
      </c>
      <c r="B61" s="7" t="n"/>
      <c r="C61" s="22">
        <f>IF(B61="","",IFERROR(VLOOKUP(B61,'Guest Directory'!$A$5:$B$304,2,FALSE),""))</f>
        <v/>
      </c>
      <c r="D61" s="7" t="n"/>
    </row>
    <row r="62">
      <c r="A62" s="21">
        <f>IF(B62="","",ROW()-4)</f>
        <v/>
      </c>
      <c r="B62" s="7" t="n"/>
      <c r="C62" s="22">
        <f>IF(B62="","",IFERROR(VLOOKUP(B62,'Guest Directory'!$A$5:$B$304,2,FALSE),""))</f>
        <v/>
      </c>
      <c r="D62" s="7" t="n"/>
    </row>
    <row r="63">
      <c r="A63" s="21">
        <f>IF(B63="","",ROW()-4)</f>
        <v/>
      </c>
      <c r="B63" s="7" t="n"/>
      <c r="C63" s="22">
        <f>IF(B63="","",IFERROR(VLOOKUP(B63,'Guest Directory'!$A$5:$B$304,2,FALSE),""))</f>
        <v/>
      </c>
      <c r="D63" s="7" t="n"/>
    </row>
    <row r="64">
      <c r="A64" s="21">
        <f>IF(B64="","",ROW()-4)</f>
        <v/>
      </c>
      <c r="B64" s="7" t="n"/>
      <c r="C64" s="22">
        <f>IF(B64="","",IFERROR(VLOOKUP(B64,'Guest Directory'!$A$5:$B$304,2,FALSE),""))</f>
        <v/>
      </c>
      <c r="D64" s="7" t="n"/>
    </row>
    <row r="65">
      <c r="A65" s="21">
        <f>IF(B65="","",ROW()-4)</f>
        <v/>
      </c>
      <c r="B65" s="7" t="n"/>
      <c r="C65" s="22">
        <f>IF(B65="","",IFERROR(VLOOKUP(B65,'Guest Directory'!$A$5:$B$304,2,FALSE),""))</f>
        <v/>
      </c>
      <c r="D65" s="7" t="n"/>
    </row>
    <row r="66">
      <c r="A66" s="21">
        <f>IF(B66="","",ROW()-4)</f>
        <v/>
      </c>
      <c r="B66" s="7" t="n"/>
      <c r="C66" s="22">
        <f>IF(B66="","",IFERROR(VLOOKUP(B66,'Guest Directory'!$A$5:$B$304,2,FALSE),""))</f>
        <v/>
      </c>
      <c r="D66" s="7" t="n"/>
    </row>
    <row r="67">
      <c r="A67" s="21">
        <f>IF(B67="","",ROW()-4)</f>
        <v/>
      </c>
      <c r="B67" s="7" t="n"/>
      <c r="C67" s="22">
        <f>IF(B67="","",IFERROR(VLOOKUP(B67,'Guest Directory'!$A$5:$B$304,2,FALSE),""))</f>
        <v/>
      </c>
      <c r="D67" s="7" t="n"/>
    </row>
    <row r="68">
      <c r="A68" s="21">
        <f>IF(B68="","",ROW()-4)</f>
        <v/>
      </c>
      <c r="B68" s="7" t="n"/>
      <c r="C68" s="22">
        <f>IF(B68="","",IFERROR(VLOOKUP(B68,'Guest Directory'!$A$5:$B$304,2,FALSE),""))</f>
        <v/>
      </c>
      <c r="D68" s="7" t="n"/>
    </row>
    <row r="69">
      <c r="A69" s="21">
        <f>IF(B69="","",ROW()-4)</f>
        <v/>
      </c>
      <c r="B69" s="7" t="n"/>
      <c r="C69" s="22">
        <f>IF(B69="","",IFERROR(VLOOKUP(B69,'Guest Directory'!$A$5:$B$304,2,FALSE),""))</f>
        <v/>
      </c>
      <c r="D69" s="7" t="n"/>
    </row>
    <row r="70">
      <c r="A70" s="21">
        <f>IF(B70="","",ROW()-4)</f>
        <v/>
      </c>
      <c r="B70" s="7" t="n"/>
      <c r="C70" s="22">
        <f>IF(B70="","",IFERROR(VLOOKUP(B70,'Guest Directory'!$A$5:$B$304,2,FALSE),""))</f>
        <v/>
      </c>
      <c r="D70" s="7" t="n"/>
    </row>
    <row r="71">
      <c r="A71" s="21">
        <f>IF(B71="","",ROW()-4)</f>
        <v/>
      </c>
      <c r="B71" s="7" t="n"/>
      <c r="C71" s="22">
        <f>IF(B71="","",IFERROR(VLOOKUP(B71,'Guest Directory'!$A$5:$B$304,2,FALSE),""))</f>
        <v/>
      </c>
      <c r="D71" s="7" t="n"/>
    </row>
    <row r="72">
      <c r="A72" s="21">
        <f>IF(B72="","",ROW()-4)</f>
        <v/>
      </c>
      <c r="B72" s="7" t="n"/>
      <c r="C72" s="22">
        <f>IF(B72="","",IFERROR(VLOOKUP(B72,'Guest Directory'!$A$5:$B$304,2,FALSE),""))</f>
        <v/>
      </c>
      <c r="D72" s="7" t="n"/>
    </row>
    <row r="73">
      <c r="A73" s="21">
        <f>IF(B73="","",ROW()-4)</f>
        <v/>
      </c>
      <c r="B73" s="7" t="n"/>
      <c r="C73" s="22">
        <f>IF(B73="","",IFERROR(VLOOKUP(B73,'Guest Directory'!$A$5:$B$304,2,FALSE),""))</f>
        <v/>
      </c>
      <c r="D73" s="7" t="n"/>
    </row>
    <row r="74">
      <c r="A74" s="21">
        <f>IF(B74="","",ROW()-4)</f>
        <v/>
      </c>
      <c r="B74" s="7" t="n"/>
      <c r="C74" s="22">
        <f>IF(B74="","",IFERROR(VLOOKUP(B74,'Guest Directory'!$A$5:$B$304,2,FALSE),""))</f>
        <v/>
      </c>
      <c r="D74" s="7" t="n"/>
    </row>
    <row r="75">
      <c r="A75" s="21">
        <f>IF(B75="","",ROW()-4)</f>
        <v/>
      </c>
      <c r="B75" s="7" t="n"/>
      <c r="C75" s="22">
        <f>IF(B75="","",IFERROR(VLOOKUP(B75,'Guest Directory'!$A$5:$B$304,2,FALSE),""))</f>
        <v/>
      </c>
      <c r="D75" s="7" t="n"/>
    </row>
    <row r="76">
      <c r="A76" s="21">
        <f>IF(B76="","",ROW()-4)</f>
        <v/>
      </c>
      <c r="B76" s="7" t="n"/>
      <c r="C76" s="22">
        <f>IF(B76="","",IFERROR(VLOOKUP(B76,'Guest Directory'!$A$5:$B$304,2,FALSE),""))</f>
        <v/>
      </c>
      <c r="D76" s="7" t="n"/>
    </row>
    <row r="77">
      <c r="A77" s="21">
        <f>IF(B77="","",ROW()-4)</f>
        <v/>
      </c>
      <c r="B77" s="7" t="n"/>
      <c r="C77" s="22">
        <f>IF(B77="","",IFERROR(VLOOKUP(B77,'Guest Directory'!$A$5:$B$304,2,FALSE),""))</f>
        <v/>
      </c>
      <c r="D77" s="7" t="n"/>
    </row>
    <row r="78">
      <c r="A78" s="21">
        <f>IF(B78="","",ROW()-4)</f>
        <v/>
      </c>
      <c r="B78" s="7" t="n"/>
      <c r="C78" s="22">
        <f>IF(B78="","",IFERROR(VLOOKUP(B78,'Guest Directory'!$A$5:$B$304,2,FALSE),""))</f>
        <v/>
      </c>
      <c r="D78" s="7" t="n"/>
    </row>
    <row r="79">
      <c r="A79" s="21">
        <f>IF(B79="","",ROW()-4)</f>
        <v/>
      </c>
      <c r="B79" s="7" t="n"/>
      <c r="C79" s="22">
        <f>IF(B79="","",IFERROR(VLOOKUP(B79,'Guest Directory'!$A$5:$B$304,2,FALSE),""))</f>
        <v/>
      </c>
      <c r="D79" s="7" t="n"/>
    </row>
    <row r="80">
      <c r="A80" s="21">
        <f>IF(B80="","",ROW()-4)</f>
        <v/>
      </c>
      <c r="B80" s="7" t="n"/>
      <c r="C80" s="22">
        <f>IF(B80="","",IFERROR(VLOOKUP(B80,'Guest Directory'!$A$5:$B$304,2,FALSE),""))</f>
        <v/>
      </c>
      <c r="D80" s="7" t="n"/>
    </row>
    <row r="81">
      <c r="A81" s="21">
        <f>IF(B81="","",ROW()-4)</f>
        <v/>
      </c>
      <c r="B81" s="7" t="n"/>
      <c r="C81" s="22">
        <f>IF(B81="","",IFERROR(VLOOKUP(B81,'Guest Directory'!$A$5:$B$304,2,FALSE),""))</f>
        <v/>
      </c>
      <c r="D81" s="7" t="n"/>
    </row>
    <row r="82">
      <c r="A82" s="21">
        <f>IF(B82="","",ROW()-4)</f>
        <v/>
      </c>
      <c r="B82" s="7" t="n"/>
      <c r="C82" s="22">
        <f>IF(B82="","",IFERROR(VLOOKUP(B82,'Guest Directory'!$A$5:$B$304,2,FALSE),""))</f>
        <v/>
      </c>
      <c r="D82" s="7" t="n"/>
    </row>
    <row r="83">
      <c r="A83" s="21">
        <f>IF(B83="","",ROW()-4)</f>
        <v/>
      </c>
      <c r="B83" s="7" t="n"/>
      <c r="C83" s="22">
        <f>IF(B83="","",IFERROR(VLOOKUP(B83,'Guest Directory'!$A$5:$B$304,2,FALSE),""))</f>
        <v/>
      </c>
      <c r="D83" s="7" t="n"/>
    </row>
    <row r="84">
      <c r="A84" s="21">
        <f>IF(B84="","",ROW()-4)</f>
        <v/>
      </c>
      <c r="B84" s="7" t="n"/>
      <c r="C84" s="22">
        <f>IF(B84="","",IFERROR(VLOOKUP(B84,'Guest Directory'!$A$5:$B$304,2,FALSE),""))</f>
        <v/>
      </c>
      <c r="D84" s="7" t="n"/>
    </row>
    <row r="85">
      <c r="A85" s="21">
        <f>IF(B85="","",ROW()-4)</f>
        <v/>
      </c>
      <c r="B85" s="7" t="n"/>
      <c r="C85" s="22">
        <f>IF(B85="","",IFERROR(VLOOKUP(B85,'Guest Directory'!$A$5:$B$304,2,FALSE),""))</f>
        <v/>
      </c>
      <c r="D85" s="7" t="n"/>
    </row>
    <row r="86">
      <c r="A86" s="21">
        <f>IF(B86="","",ROW()-4)</f>
        <v/>
      </c>
      <c r="B86" s="7" t="n"/>
      <c r="C86" s="22">
        <f>IF(B86="","",IFERROR(VLOOKUP(B86,'Guest Directory'!$A$5:$B$304,2,FALSE),""))</f>
        <v/>
      </c>
      <c r="D86" s="7" t="n"/>
    </row>
    <row r="87">
      <c r="A87" s="21">
        <f>IF(B87="","",ROW()-4)</f>
        <v/>
      </c>
      <c r="B87" s="7" t="n"/>
      <c r="C87" s="22">
        <f>IF(B87="","",IFERROR(VLOOKUP(B87,'Guest Directory'!$A$5:$B$304,2,FALSE),""))</f>
        <v/>
      </c>
      <c r="D87" s="7" t="n"/>
    </row>
    <row r="88">
      <c r="A88" s="21">
        <f>IF(B88="","",ROW()-4)</f>
        <v/>
      </c>
      <c r="B88" s="7" t="n"/>
      <c r="C88" s="22">
        <f>IF(B88="","",IFERROR(VLOOKUP(B88,'Guest Directory'!$A$5:$B$304,2,FALSE),""))</f>
        <v/>
      </c>
      <c r="D88" s="7" t="n"/>
    </row>
    <row r="89">
      <c r="A89" s="21">
        <f>IF(B89="","",ROW()-4)</f>
        <v/>
      </c>
      <c r="B89" s="7" t="n"/>
      <c r="C89" s="22">
        <f>IF(B89="","",IFERROR(VLOOKUP(B89,'Guest Directory'!$A$5:$B$304,2,FALSE),""))</f>
        <v/>
      </c>
      <c r="D89" s="7" t="n"/>
    </row>
    <row r="90">
      <c r="A90" s="21">
        <f>IF(B90="","",ROW()-4)</f>
        <v/>
      </c>
      <c r="B90" s="7" t="n"/>
      <c r="C90" s="22">
        <f>IF(B90="","",IFERROR(VLOOKUP(B90,'Guest Directory'!$A$5:$B$304,2,FALSE),""))</f>
        <v/>
      </c>
      <c r="D90" s="7" t="n"/>
    </row>
    <row r="91">
      <c r="A91" s="21">
        <f>IF(B91="","",ROW()-4)</f>
        <v/>
      </c>
      <c r="B91" s="7" t="n"/>
      <c r="C91" s="22">
        <f>IF(B91="","",IFERROR(VLOOKUP(B91,'Guest Directory'!$A$5:$B$304,2,FALSE),""))</f>
        <v/>
      </c>
      <c r="D91" s="7" t="n"/>
    </row>
    <row r="92">
      <c r="A92" s="21">
        <f>IF(B92="","",ROW()-4)</f>
        <v/>
      </c>
      <c r="B92" s="7" t="n"/>
      <c r="C92" s="22">
        <f>IF(B92="","",IFERROR(VLOOKUP(B92,'Guest Directory'!$A$5:$B$304,2,FALSE),""))</f>
        <v/>
      </c>
      <c r="D92" s="7" t="n"/>
    </row>
    <row r="93">
      <c r="A93" s="21">
        <f>IF(B93="","",ROW()-4)</f>
        <v/>
      </c>
      <c r="B93" s="7" t="n"/>
      <c r="C93" s="22">
        <f>IF(B93="","",IFERROR(VLOOKUP(B93,'Guest Directory'!$A$5:$B$304,2,FALSE),""))</f>
        <v/>
      </c>
      <c r="D93" s="7" t="n"/>
    </row>
    <row r="94">
      <c r="A94" s="21">
        <f>IF(B94="","",ROW()-4)</f>
        <v/>
      </c>
      <c r="B94" s="7" t="n"/>
      <c r="C94" s="22">
        <f>IF(B94="","",IFERROR(VLOOKUP(B94,'Guest Directory'!$A$5:$B$304,2,FALSE),""))</f>
        <v/>
      </c>
      <c r="D94" s="7" t="n"/>
    </row>
    <row r="95">
      <c r="A95" s="21">
        <f>IF(B95="","",ROW()-4)</f>
        <v/>
      </c>
      <c r="B95" s="7" t="n"/>
      <c r="C95" s="22">
        <f>IF(B95="","",IFERROR(VLOOKUP(B95,'Guest Directory'!$A$5:$B$304,2,FALSE),""))</f>
        <v/>
      </c>
      <c r="D95" s="7" t="n"/>
    </row>
    <row r="96">
      <c r="A96" s="21">
        <f>IF(B96="","",ROW()-4)</f>
        <v/>
      </c>
      <c r="B96" s="7" t="n"/>
      <c r="C96" s="22">
        <f>IF(B96="","",IFERROR(VLOOKUP(B96,'Guest Directory'!$A$5:$B$304,2,FALSE),""))</f>
        <v/>
      </c>
      <c r="D96" s="7" t="n"/>
    </row>
    <row r="97">
      <c r="A97" s="21">
        <f>IF(B97="","",ROW()-4)</f>
        <v/>
      </c>
      <c r="B97" s="7" t="n"/>
      <c r="C97" s="22">
        <f>IF(B97="","",IFERROR(VLOOKUP(B97,'Guest Directory'!$A$5:$B$304,2,FALSE),""))</f>
        <v/>
      </c>
      <c r="D97" s="7" t="n"/>
    </row>
    <row r="98">
      <c r="A98" s="21">
        <f>IF(B98="","",ROW()-4)</f>
        <v/>
      </c>
      <c r="B98" s="7" t="n"/>
      <c r="C98" s="22">
        <f>IF(B98="","",IFERROR(VLOOKUP(B98,'Guest Directory'!$A$5:$B$304,2,FALSE),""))</f>
        <v/>
      </c>
      <c r="D98" s="7" t="n"/>
    </row>
    <row r="99">
      <c r="A99" s="21">
        <f>IF(B99="","",ROW()-4)</f>
        <v/>
      </c>
      <c r="B99" s="7" t="n"/>
      <c r="C99" s="22">
        <f>IF(B99="","",IFERROR(VLOOKUP(B99,'Guest Directory'!$A$5:$B$304,2,FALSE),""))</f>
        <v/>
      </c>
      <c r="D99" s="7" t="n"/>
    </row>
    <row r="100">
      <c r="A100" s="21">
        <f>IF(B100="","",ROW()-4)</f>
        <v/>
      </c>
      <c r="B100" s="7" t="n"/>
      <c r="C100" s="22">
        <f>IF(B100="","",IFERROR(VLOOKUP(B100,'Guest Directory'!$A$5:$B$304,2,FALSE),""))</f>
        <v/>
      </c>
      <c r="D100" s="7" t="n"/>
    </row>
    <row r="101">
      <c r="A101" s="21">
        <f>IF(B101="","",ROW()-4)</f>
        <v/>
      </c>
      <c r="B101" s="7" t="n"/>
      <c r="C101" s="22">
        <f>IF(B101="","",IFERROR(VLOOKUP(B101,'Guest Directory'!$A$5:$B$304,2,FALSE),""))</f>
        <v/>
      </c>
      <c r="D101" s="7" t="n"/>
    </row>
    <row r="102">
      <c r="A102" s="21">
        <f>IF(B102="","",ROW()-4)</f>
        <v/>
      </c>
      <c r="B102" s="7" t="n"/>
      <c r="C102" s="22">
        <f>IF(B102="","",IFERROR(VLOOKUP(B102,'Guest Directory'!$A$5:$B$304,2,FALSE),""))</f>
        <v/>
      </c>
      <c r="D102" s="7" t="n"/>
    </row>
    <row r="103">
      <c r="A103" s="21">
        <f>IF(B103="","",ROW()-4)</f>
        <v/>
      </c>
      <c r="B103" s="7" t="n"/>
      <c r="C103" s="22">
        <f>IF(B103="","",IFERROR(VLOOKUP(B103,'Guest Directory'!$A$5:$B$304,2,FALSE),""))</f>
        <v/>
      </c>
      <c r="D103" s="7" t="n"/>
    </row>
    <row r="104">
      <c r="A104" s="21">
        <f>IF(B104="","",ROW()-4)</f>
        <v/>
      </c>
      <c r="B104" s="7" t="n"/>
      <c r="C104" s="22">
        <f>IF(B104="","",IFERROR(VLOOKUP(B104,'Guest Directory'!$A$5:$B$304,2,FALSE),""))</f>
        <v/>
      </c>
      <c r="D104" s="7" t="n"/>
    </row>
    <row r="105">
      <c r="A105" s="21">
        <f>IF(B105="","",ROW()-4)</f>
        <v/>
      </c>
      <c r="B105" s="7" t="n"/>
      <c r="C105" s="22">
        <f>IF(B105="","",IFERROR(VLOOKUP(B105,'Guest Directory'!$A$5:$B$304,2,FALSE),""))</f>
        <v/>
      </c>
      <c r="D105" s="7" t="n"/>
    </row>
    <row r="106">
      <c r="A106" s="21">
        <f>IF(B106="","",ROW()-4)</f>
        <v/>
      </c>
      <c r="B106" s="7" t="n"/>
      <c r="C106" s="22">
        <f>IF(B106="","",IFERROR(VLOOKUP(B106,'Guest Directory'!$A$5:$B$304,2,FALSE),""))</f>
        <v/>
      </c>
      <c r="D106" s="7" t="n"/>
    </row>
    <row r="107">
      <c r="A107" s="21">
        <f>IF(B107="","",ROW()-4)</f>
        <v/>
      </c>
      <c r="B107" s="7" t="n"/>
      <c r="C107" s="22">
        <f>IF(B107="","",IFERROR(VLOOKUP(B107,'Guest Directory'!$A$5:$B$304,2,FALSE),""))</f>
        <v/>
      </c>
      <c r="D107" s="7" t="n"/>
    </row>
    <row r="108">
      <c r="A108" s="21">
        <f>IF(B108="","",ROW()-4)</f>
        <v/>
      </c>
      <c r="B108" s="7" t="n"/>
      <c r="C108" s="22">
        <f>IF(B108="","",IFERROR(VLOOKUP(B108,'Guest Directory'!$A$5:$B$304,2,FALSE),""))</f>
        <v/>
      </c>
      <c r="D108" s="7" t="n"/>
    </row>
    <row r="109">
      <c r="A109" s="21">
        <f>IF(B109="","",ROW()-4)</f>
        <v/>
      </c>
      <c r="B109" s="7" t="n"/>
      <c r="C109" s="22">
        <f>IF(B109="","",IFERROR(VLOOKUP(B109,'Guest Directory'!$A$5:$B$304,2,FALSE),""))</f>
        <v/>
      </c>
      <c r="D109" s="7" t="n"/>
    </row>
    <row r="110">
      <c r="A110" s="21">
        <f>IF(B110="","",ROW()-4)</f>
        <v/>
      </c>
      <c r="B110" s="7" t="n"/>
      <c r="C110" s="22">
        <f>IF(B110="","",IFERROR(VLOOKUP(B110,'Guest Directory'!$A$5:$B$304,2,FALSE),""))</f>
        <v/>
      </c>
      <c r="D110" s="7" t="n"/>
    </row>
    <row r="111">
      <c r="A111" s="21">
        <f>IF(B111="","",ROW()-4)</f>
        <v/>
      </c>
      <c r="B111" s="7" t="n"/>
      <c r="C111" s="22">
        <f>IF(B111="","",IFERROR(VLOOKUP(B111,'Guest Directory'!$A$5:$B$304,2,FALSE),""))</f>
        <v/>
      </c>
      <c r="D111" s="7" t="n"/>
    </row>
    <row r="112">
      <c r="A112" s="21">
        <f>IF(B112="","",ROW()-4)</f>
        <v/>
      </c>
      <c r="B112" s="7" t="n"/>
      <c r="C112" s="22">
        <f>IF(B112="","",IFERROR(VLOOKUP(B112,'Guest Directory'!$A$5:$B$304,2,FALSE),""))</f>
        <v/>
      </c>
      <c r="D112" s="7" t="n"/>
    </row>
    <row r="113">
      <c r="A113" s="21">
        <f>IF(B113="","",ROW()-4)</f>
        <v/>
      </c>
      <c r="B113" s="7" t="n"/>
      <c r="C113" s="22">
        <f>IF(B113="","",IFERROR(VLOOKUP(B113,'Guest Directory'!$A$5:$B$304,2,FALSE),""))</f>
        <v/>
      </c>
      <c r="D113" s="7" t="n"/>
    </row>
    <row r="114">
      <c r="A114" s="21">
        <f>IF(B114="","",ROW()-4)</f>
        <v/>
      </c>
      <c r="B114" s="7" t="n"/>
      <c r="C114" s="22">
        <f>IF(B114="","",IFERROR(VLOOKUP(B114,'Guest Directory'!$A$5:$B$304,2,FALSE),""))</f>
        <v/>
      </c>
      <c r="D114" s="7" t="n"/>
    </row>
    <row r="115">
      <c r="A115" s="21">
        <f>IF(B115="","",ROW()-4)</f>
        <v/>
      </c>
      <c r="B115" s="7" t="n"/>
      <c r="C115" s="22">
        <f>IF(B115="","",IFERROR(VLOOKUP(B115,'Guest Directory'!$A$5:$B$304,2,FALSE),""))</f>
        <v/>
      </c>
      <c r="D115" s="7" t="n"/>
    </row>
    <row r="116">
      <c r="A116" s="21">
        <f>IF(B116="","",ROW()-4)</f>
        <v/>
      </c>
      <c r="B116" s="7" t="n"/>
      <c r="C116" s="22">
        <f>IF(B116="","",IFERROR(VLOOKUP(B116,'Guest Directory'!$A$5:$B$304,2,FALSE),""))</f>
        <v/>
      </c>
      <c r="D116" s="7" t="n"/>
    </row>
    <row r="117">
      <c r="A117" s="21">
        <f>IF(B117="","",ROW()-4)</f>
        <v/>
      </c>
      <c r="B117" s="7" t="n"/>
      <c r="C117" s="22">
        <f>IF(B117="","",IFERROR(VLOOKUP(B117,'Guest Directory'!$A$5:$B$304,2,FALSE),""))</f>
        <v/>
      </c>
      <c r="D117" s="7" t="n"/>
    </row>
    <row r="118">
      <c r="A118" s="21">
        <f>IF(B118="","",ROW()-4)</f>
        <v/>
      </c>
      <c r="B118" s="7" t="n"/>
      <c r="C118" s="22">
        <f>IF(B118="","",IFERROR(VLOOKUP(B118,'Guest Directory'!$A$5:$B$304,2,FALSE),""))</f>
        <v/>
      </c>
      <c r="D118" s="7" t="n"/>
    </row>
    <row r="119">
      <c r="A119" s="21">
        <f>IF(B119="","",ROW()-4)</f>
        <v/>
      </c>
      <c r="B119" s="7" t="n"/>
      <c r="C119" s="22">
        <f>IF(B119="","",IFERROR(VLOOKUP(B119,'Guest Directory'!$A$5:$B$304,2,FALSE),""))</f>
        <v/>
      </c>
      <c r="D119" s="7" t="n"/>
    </row>
    <row r="120">
      <c r="A120" s="21">
        <f>IF(B120="","",ROW()-4)</f>
        <v/>
      </c>
      <c r="B120" s="7" t="n"/>
      <c r="C120" s="22">
        <f>IF(B120="","",IFERROR(VLOOKUP(B120,'Guest Directory'!$A$5:$B$304,2,FALSE),""))</f>
        <v/>
      </c>
      <c r="D120" s="7" t="n"/>
    </row>
    <row r="121">
      <c r="A121" s="21">
        <f>IF(B121="","",ROW()-4)</f>
        <v/>
      </c>
      <c r="B121" s="7" t="n"/>
      <c r="C121" s="22">
        <f>IF(B121="","",IFERROR(VLOOKUP(B121,'Guest Directory'!$A$5:$B$304,2,FALSE),""))</f>
        <v/>
      </c>
      <c r="D121" s="7" t="n"/>
    </row>
    <row r="122">
      <c r="A122" s="21">
        <f>IF(B122="","",ROW()-4)</f>
        <v/>
      </c>
      <c r="B122" s="7" t="n"/>
      <c r="C122" s="22">
        <f>IF(B122="","",IFERROR(VLOOKUP(B122,'Guest Directory'!$A$5:$B$304,2,FALSE),""))</f>
        <v/>
      </c>
      <c r="D122" s="7" t="n"/>
    </row>
    <row r="123">
      <c r="A123" s="21">
        <f>IF(B123="","",ROW()-4)</f>
        <v/>
      </c>
      <c r="B123" s="7" t="n"/>
      <c r="C123" s="22">
        <f>IF(B123="","",IFERROR(VLOOKUP(B123,'Guest Directory'!$A$5:$B$304,2,FALSE),""))</f>
        <v/>
      </c>
      <c r="D123" s="7" t="n"/>
    </row>
    <row r="124">
      <c r="A124" s="21">
        <f>IF(B124="","",ROW()-4)</f>
        <v/>
      </c>
      <c r="B124" s="7" t="n"/>
      <c r="C124" s="22">
        <f>IF(B124="","",IFERROR(VLOOKUP(B124,'Guest Directory'!$A$5:$B$304,2,FALSE),""))</f>
        <v/>
      </c>
      <c r="D124" s="7" t="n"/>
    </row>
    <row r="125">
      <c r="A125" s="21">
        <f>IF(B125="","",ROW()-4)</f>
        <v/>
      </c>
      <c r="B125" s="7" t="n"/>
      <c r="C125" s="22">
        <f>IF(B125="","",IFERROR(VLOOKUP(B125,'Guest Directory'!$A$5:$B$304,2,FALSE),""))</f>
        <v/>
      </c>
      <c r="D125" s="7" t="n"/>
    </row>
    <row r="126">
      <c r="A126" s="21">
        <f>IF(B126="","",ROW()-4)</f>
        <v/>
      </c>
      <c r="B126" s="7" t="n"/>
      <c r="C126" s="22">
        <f>IF(B126="","",IFERROR(VLOOKUP(B126,'Guest Directory'!$A$5:$B$304,2,FALSE),""))</f>
        <v/>
      </c>
      <c r="D126" s="7" t="n"/>
    </row>
    <row r="127">
      <c r="A127" s="21">
        <f>IF(B127="","",ROW()-4)</f>
        <v/>
      </c>
      <c r="B127" s="7" t="n"/>
      <c r="C127" s="22">
        <f>IF(B127="","",IFERROR(VLOOKUP(B127,'Guest Directory'!$A$5:$B$304,2,FALSE),""))</f>
        <v/>
      </c>
      <c r="D127" s="7" t="n"/>
    </row>
    <row r="128">
      <c r="A128" s="21">
        <f>IF(B128="","",ROW()-4)</f>
        <v/>
      </c>
      <c r="B128" s="7" t="n"/>
      <c r="C128" s="22">
        <f>IF(B128="","",IFERROR(VLOOKUP(B128,'Guest Directory'!$A$5:$B$304,2,FALSE),""))</f>
        <v/>
      </c>
      <c r="D128" s="7" t="n"/>
    </row>
    <row r="129">
      <c r="A129" s="21">
        <f>IF(B129="","",ROW()-4)</f>
        <v/>
      </c>
      <c r="B129" s="7" t="n"/>
      <c r="C129" s="22">
        <f>IF(B129="","",IFERROR(VLOOKUP(B129,'Guest Directory'!$A$5:$B$304,2,FALSE),""))</f>
        <v/>
      </c>
      <c r="D129" s="7" t="n"/>
    </row>
    <row r="130">
      <c r="A130" s="21">
        <f>IF(B130="","",ROW()-4)</f>
        <v/>
      </c>
      <c r="B130" s="7" t="n"/>
      <c r="C130" s="22">
        <f>IF(B130="","",IFERROR(VLOOKUP(B130,'Guest Directory'!$A$5:$B$304,2,FALSE),""))</f>
        <v/>
      </c>
      <c r="D130" s="7" t="n"/>
    </row>
    <row r="131">
      <c r="A131" s="21">
        <f>IF(B131="","",ROW()-4)</f>
        <v/>
      </c>
      <c r="B131" s="7" t="n"/>
      <c r="C131" s="22">
        <f>IF(B131="","",IFERROR(VLOOKUP(B131,'Guest Directory'!$A$5:$B$304,2,FALSE),""))</f>
        <v/>
      </c>
      <c r="D131" s="7" t="n"/>
    </row>
    <row r="132">
      <c r="A132" s="21">
        <f>IF(B132="","",ROW()-4)</f>
        <v/>
      </c>
      <c r="B132" s="7" t="n"/>
      <c r="C132" s="22">
        <f>IF(B132="","",IFERROR(VLOOKUP(B132,'Guest Directory'!$A$5:$B$304,2,FALSE),""))</f>
        <v/>
      </c>
      <c r="D132" s="7" t="n"/>
    </row>
    <row r="133">
      <c r="A133" s="21">
        <f>IF(B133="","",ROW()-4)</f>
        <v/>
      </c>
      <c r="B133" s="7" t="n"/>
      <c r="C133" s="22">
        <f>IF(B133="","",IFERROR(VLOOKUP(B133,'Guest Directory'!$A$5:$B$304,2,FALSE),""))</f>
        <v/>
      </c>
      <c r="D133" s="7" t="n"/>
    </row>
    <row r="134">
      <c r="A134" s="21">
        <f>IF(B134="","",ROW()-4)</f>
        <v/>
      </c>
      <c r="B134" s="7" t="n"/>
      <c r="C134" s="22">
        <f>IF(B134="","",IFERROR(VLOOKUP(B134,'Guest Directory'!$A$5:$B$304,2,FALSE),""))</f>
        <v/>
      </c>
      <c r="D134" s="7" t="n"/>
    </row>
    <row r="135">
      <c r="A135" s="21">
        <f>IF(B135="","",ROW()-4)</f>
        <v/>
      </c>
      <c r="B135" s="7" t="n"/>
      <c r="C135" s="22">
        <f>IF(B135="","",IFERROR(VLOOKUP(B135,'Guest Directory'!$A$5:$B$304,2,FALSE),""))</f>
        <v/>
      </c>
      <c r="D135" s="7" t="n"/>
    </row>
    <row r="136">
      <c r="A136" s="21">
        <f>IF(B136="","",ROW()-4)</f>
        <v/>
      </c>
      <c r="B136" s="7" t="n"/>
      <c r="C136" s="22">
        <f>IF(B136="","",IFERROR(VLOOKUP(B136,'Guest Directory'!$A$5:$B$304,2,FALSE),""))</f>
        <v/>
      </c>
      <c r="D136" s="7" t="n"/>
    </row>
    <row r="137">
      <c r="A137" s="21">
        <f>IF(B137="","",ROW()-4)</f>
        <v/>
      </c>
      <c r="B137" s="7" t="n"/>
      <c r="C137" s="22">
        <f>IF(B137="","",IFERROR(VLOOKUP(B137,'Guest Directory'!$A$5:$B$304,2,FALSE),""))</f>
        <v/>
      </c>
      <c r="D137" s="7" t="n"/>
    </row>
    <row r="138">
      <c r="A138" s="21">
        <f>IF(B138="","",ROW()-4)</f>
        <v/>
      </c>
      <c r="B138" s="7" t="n"/>
      <c r="C138" s="22">
        <f>IF(B138="","",IFERROR(VLOOKUP(B138,'Guest Directory'!$A$5:$B$304,2,FALSE),""))</f>
        <v/>
      </c>
      <c r="D138" s="7" t="n"/>
    </row>
    <row r="139">
      <c r="A139" s="21">
        <f>IF(B139="","",ROW()-4)</f>
        <v/>
      </c>
      <c r="B139" s="7" t="n"/>
      <c r="C139" s="22">
        <f>IF(B139="","",IFERROR(VLOOKUP(B139,'Guest Directory'!$A$5:$B$304,2,FALSE),""))</f>
        <v/>
      </c>
      <c r="D139" s="7" t="n"/>
    </row>
    <row r="140">
      <c r="A140" s="21">
        <f>IF(B140="","",ROW()-4)</f>
        <v/>
      </c>
      <c r="B140" s="7" t="n"/>
      <c r="C140" s="22">
        <f>IF(B140="","",IFERROR(VLOOKUP(B140,'Guest Directory'!$A$5:$B$304,2,FALSE),""))</f>
        <v/>
      </c>
      <c r="D140" s="7" t="n"/>
    </row>
    <row r="141">
      <c r="A141" s="21">
        <f>IF(B141="","",ROW()-4)</f>
        <v/>
      </c>
      <c r="B141" s="7" t="n"/>
      <c r="C141" s="22">
        <f>IF(B141="","",IFERROR(VLOOKUP(B141,'Guest Directory'!$A$5:$B$304,2,FALSE),""))</f>
        <v/>
      </c>
      <c r="D141" s="7" t="n"/>
    </row>
    <row r="142">
      <c r="A142" s="21">
        <f>IF(B142="","",ROW()-4)</f>
        <v/>
      </c>
      <c r="B142" s="7" t="n"/>
      <c r="C142" s="22">
        <f>IF(B142="","",IFERROR(VLOOKUP(B142,'Guest Directory'!$A$5:$B$304,2,FALSE),""))</f>
        <v/>
      </c>
      <c r="D142" s="7" t="n"/>
    </row>
    <row r="143">
      <c r="A143" s="21">
        <f>IF(B143="","",ROW()-4)</f>
        <v/>
      </c>
      <c r="B143" s="7" t="n"/>
      <c r="C143" s="22">
        <f>IF(B143="","",IFERROR(VLOOKUP(B143,'Guest Directory'!$A$5:$B$304,2,FALSE),""))</f>
        <v/>
      </c>
      <c r="D143" s="7" t="n"/>
    </row>
    <row r="144">
      <c r="A144" s="21">
        <f>IF(B144="","",ROW()-4)</f>
        <v/>
      </c>
      <c r="B144" s="7" t="n"/>
      <c r="C144" s="22">
        <f>IF(B144="","",IFERROR(VLOOKUP(B144,'Guest Directory'!$A$5:$B$304,2,FALSE),""))</f>
        <v/>
      </c>
      <c r="D144" s="7" t="n"/>
    </row>
    <row r="145">
      <c r="A145" s="21">
        <f>IF(B145="","",ROW()-4)</f>
        <v/>
      </c>
      <c r="B145" s="7" t="n"/>
      <c r="C145" s="22">
        <f>IF(B145="","",IFERROR(VLOOKUP(B145,'Guest Directory'!$A$5:$B$304,2,FALSE),""))</f>
        <v/>
      </c>
      <c r="D145" s="7" t="n"/>
    </row>
    <row r="146">
      <c r="A146" s="21">
        <f>IF(B146="","",ROW()-4)</f>
        <v/>
      </c>
      <c r="B146" s="7" t="n"/>
      <c r="C146" s="22">
        <f>IF(B146="","",IFERROR(VLOOKUP(B146,'Guest Directory'!$A$5:$B$304,2,FALSE),""))</f>
        <v/>
      </c>
      <c r="D146" s="7" t="n"/>
    </row>
    <row r="147">
      <c r="A147" s="21">
        <f>IF(B147="","",ROW()-4)</f>
        <v/>
      </c>
      <c r="B147" s="7" t="n"/>
      <c r="C147" s="22">
        <f>IF(B147="","",IFERROR(VLOOKUP(B147,'Guest Directory'!$A$5:$B$304,2,FALSE),""))</f>
        <v/>
      </c>
      <c r="D147" s="7" t="n"/>
    </row>
    <row r="148">
      <c r="A148" s="21">
        <f>IF(B148="","",ROW()-4)</f>
        <v/>
      </c>
      <c r="B148" s="7" t="n"/>
      <c r="C148" s="22">
        <f>IF(B148="","",IFERROR(VLOOKUP(B148,'Guest Directory'!$A$5:$B$304,2,FALSE),""))</f>
        <v/>
      </c>
      <c r="D148" s="7" t="n"/>
    </row>
    <row r="149">
      <c r="A149" s="21">
        <f>IF(B149="","",ROW()-4)</f>
        <v/>
      </c>
      <c r="B149" s="7" t="n"/>
      <c r="C149" s="22">
        <f>IF(B149="","",IFERROR(VLOOKUP(B149,'Guest Directory'!$A$5:$B$304,2,FALSE),""))</f>
        <v/>
      </c>
      <c r="D149" s="7" t="n"/>
    </row>
    <row r="150">
      <c r="A150" s="21">
        <f>IF(B150="","",ROW()-4)</f>
        <v/>
      </c>
      <c r="B150" s="7" t="n"/>
      <c r="C150" s="22">
        <f>IF(B150="","",IFERROR(VLOOKUP(B150,'Guest Directory'!$A$5:$B$304,2,FALSE),""))</f>
        <v/>
      </c>
      <c r="D150" s="7" t="n"/>
    </row>
    <row r="151">
      <c r="A151" s="21">
        <f>IF(B151="","",ROW()-4)</f>
        <v/>
      </c>
      <c r="B151" s="7" t="n"/>
      <c r="C151" s="22">
        <f>IF(B151="","",IFERROR(VLOOKUP(B151,'Guest Directory'!$A$5:$B$304,2,FALSE),""))</f>
        <v/>
      </c>
      <c r="D151" s="7" t="n"/>
    </row>
    <row r="152">
      <c r="A152" s="21">
        <f>IF(B152="","",ROW()-4)</f>
        <v/>
      </c>
      <c r="B152" s="7" t="n"/>
      <c r="C152" s="22">
        <f>IF(B152="","",IFERROR(VLOOKUP(B152,'Guest Directory'!$A$5:$B$304,2,FALSE),""))</f>
        <v/>
      </c>
      <c r="D152" s="7" t="n"/>
    </row>
    <row r="153">
      <c r="A153" s="21">
        <f>IF(B153="","",ROW()-4)</f>
        <v/>
      </c>
      <c r="B153" s="7" t="n"/>
      <c r="C153" s="22">
        <f>IF(B153="","",IFERROR(VLOOKUP(B153,'Guest Directory'!$A$5:$B$304,2,FALSE),""))</f>
        <v/>
      </c>
      <c r="D153" s="7" t="n"/>
    </row>
    <row r="154">
      <c r="A154" s="21">
        <f>IF(B154="","",ROW()-4)</f>
        <v/>
      </c>
      <c r="B154" s="7" t="n"/>
      <c r="C154" s="22">
        <f>IF(B154="","",IFERROR(VLOOKUP(B154,'Guest Directory'!$A$5:$B$304,2,FALSE),""))</f>
        <v/>
      </c>
      <c r="D154" s="7" t="n"/>
    </row>
    <row r="155">
      <c r="A155" s="21">
        <f>IF(B155="","",ROW()-4)</f>
        <v/>
      </c>
      <c r="B155" s="7" t="n"/>
      <c r="C155" s="22">
        <f>IF(B155="","",IFERROR(VLOOKUP(B155,'Guest Directory'!$A$5:$B$304,2,FALSE),""))</f>
        <v/>
      </c>
      <c r="D155" s="7" t="n"/>
    </row>
    <row r="156">
      <c r="A156" s="21">
        <f>IF(B156="","",ROW()-4)</f>
        <v/>
      </c>
      <c r="B156" s="7" t="n"/>
      <c r="C156" s="22">
        <f>IF(B156="","",IFERROR(VLOOKUP(B156,'Guest Directory'!$A$5:$B$304,2,FALSE),""))</f>
        <v/>
      </c>
      <c r="D156" s="7" t="n"/>
    </row>
    <row r="157">
      <c r="A157" s="21">
        <f>IF(B157="","",ROW()-4)</f>
        <v/>
      </c>
      <c r="B157" s="7" t="n"/>
      <c r="C157" s="22">
        <f>IF(B157="","",IFERROR(VLOOKUP(B157,'Guest Directory'!$A$5:$B$304,2,FALSE),""))</f>
        <v/>
      </c>
      <c r="D157" s="7" t="n"/>
    </row>
    <row r="158">
      <c r="A158" s="21">
        <f>IF(B158="","",ROW()-4)</f>
        <v/>
      </c>
      <c r="B158" s="7" t="n"/>
      <c r="C158" s="22">
        <f>IF(B158="","",IFERROR(VLOOKUP(B158,'Guest Directory'!$A$5:$B$304,2,FALSE),""))</f>
        <v/>
      </c>
      <c r="D158" s="7" t="n"/>
    </row>
    <row r="159">
      <c r="A159" s="21">
        <f>IF(B159="","",ROW()-4)</f>
        <v/>
      </c>
      <c r="B159" s="7" t="n"/>
      <c r="C159" s="22">
        <f>IF(B159="","",IFERROR(VLOOKUP(B159,'Guest Directory'!$A$5:$B$304,2,FALSE),""))</f>
        <v/>
      </c>
      <c r="D159" s="7" t="n"/>
    </row>
    <row r="160">
      <c r="A160" s="21">
        <f>IF(B160="","",ROW()-4)</f>
        <v/>
      </c>
      <c r="B160" s="7" t="n"/>
      <c r="C160" s="22">
        <f>IF(B160="","",IFERROR(VLOOKUP(B160,'Guest Directory'!$A$5:$B$304,2,FALSE),""))</f>
        <v/>
      </c>
      <c r="D160" s="7" t="n"/>
    </row>
    <row r="161">
      <c r="A161" s="21">
        <f>IF(B161="","",ROW()-4)</f>
        <v/>
      </c>
      <c r="B161" s="7" t="n"/>
      <c r="C161" s="22">
        <f>IF(B161="","",IFERROR(VLOOKUP(B161,'Guest Directory'!$A$5:$B$304,2,FALSE),""))</f>
        <v/>
      </c>
      <c r="D161" s="7" t="n"/>
    </row>
    <row r="162">
      <c r="A162" s="21">
        <f>IF(B162="","",ROW()-4)</f>
        <v/>
      </c>
      <c r="B162" s="7" t="n"/>
      <c r="C162" s="22">
        <f>IF(B162="","",IFERROR(VLOOKUP(B162,'Guest Directory'!$A$5:$B$304,2,FALSE),""))</f>
        <v/>
      </c>
      <c r="D162" s="7" t="n"/>
    </row>
    <row r="163">
      <c r="A163" s="21">
        <f>IF(B163="","",ROW()-4)</f>
        <v/>
      </c>
      <c r="B163" s="7" t="n"/>
      <c r="C163" s="22">
        <f>IF(B163="","",IFERROR(VLOOKUP(B163,'Guest Directory'!$A$5:$B$304,2,FALSE),""))</f>
        <v/>
      </c>
      <c r="D163" s="7" t="n"/>
    </row>
    <row r="164">
      <c r="A164" s="21">
        <f>IF(B164="","",ROW()-4)</f>
        <v/>
      </c>
      <c r="B164" s="7" t="n"/>
      <c r="C164" s="22">
        <f>IF(B164="","",IFERROR(VLOOKUP(B164,'Guest Directory'!$A$5:$B$304,2,FALSE),""))</f>
        <v/>
      </c>
      <c r="D164" s="7" t="n"/>
    </row>
    <row r="165">
      <c r="A165" s="21">
        <f>IF(B165="","",ROW()-4)</f>
        <v/>
      </c>
      <c r="B165" s="7" t="n"/>
      <c r="C165" s="22">
        <f>IF(B165="","",IFERROR(VLOOKUP(B165,'Guest Directory'!$A$5:$B$304,2,FALSE),""))</f>
        <v/>
      </c>
      <c r="D165" s="7" t="n"/>
    </row>
    <row r="166">
      <c r="A166" s="21">
        <f>IF(B166="","",ROW()-4)</f>
        <v/>
      </c>
      <c r="B166" s="7" t="n"/>
      <c r="C166" s="22">
        <f>IF(B166="","",IFERROR(VLOOKUP(B166,'Guest Directory'!$A$5:$B$304,2,FALSE),""))</f>
        <v/>
      </c>
      <c r="D166" s="7" t="n"/>
    </row>
    <row r="167">
      <c r="A167" s="21">
        <f>IF(B167="","",ROW()-4)</f>
        <v/>
      </c>
      <c r="B167" s="7" t="n"/>
      <c r="C167" s="22">
        <f>IF(B167="","",IFERROR(VLOOKUP(B167,'Guest Directory'!$A$5:$B$304,2,FALSE),""))</f>
        <v/>
      </c>
      <c r="D167" s="7" t="n"/>
    </row>
    <row r="168">
      <c r="A168" s="21">
        <f>IF(B168="","",ROW()-4)</f>
        <v/>
      </c>
      <c r="B168" s="7" t="n"/>
      <c r="C168" s="22">
        <f>IF(B168="","",IFERROR(VLOOKUP(B168,'Guest Directory'!$A$5:$B$304,2,FALSE),""))</f>
        <v/>
      </c>
      <c r="D168" s="7" t="n"/>
    </row>
    <row r="169">
      <c r="A169" s="21">
        <f>IF(B169="","",ROW()-4)</f>
        <v/>
      </c>
      <c r="B169" s="7" t="n"/>
      <c r="C169" s="22">
        <f>IF(B169="","",IFERROR(VLOOKUP(B169,'Guest Directory'!$A$5:$B$304,2,FALSE),""))</f>
        <v/>
      </c>
      <c r="D169" s="7" t="n"/>
    </row>
    <row r="170">
      <c r="A170" s="21">
        <f>IF(B170="","",ROW()-4)</f>
        <v/>
      </c>
      <c r="B170" s="7" t="n"/>
      <c r="C170" s="22">
        <f>IF(B170="","",IFERROR(VLOOKUP(B170,'Guest Directory'!$A$5:$B$304,2,FALSE),""))</f>
        <v/>
      </c>
      <c r="D170" s="7" t="n"/>
    </row>
    <row r="171">
      <c r="A171" s="21">
        <f>IF(B171="","",ROW()-4)</f>
        <v/>
      </c>
      <c r="B171" s="7" t="n"/>
      <c r="C171" s="22">
        <f>IF(B171="","",IFERROR(VLOOKUP(B171,'Guest Directory'!$A$5:$B$304,2,FALSE),""))</f>
        <v/>
      </c>
      <c r="D171" s="7" t="n"/>
    </row>
    <row r="172">
      <c r="A172" s="21">
        <f>IF(B172="","",ROW()-4)</f>
        <v/>
      </c>
      <c r="B172" s="7" t="n"/>
      <c r="C172" s="22">
        <f>IF(B172="","",IFERROR(VLOOKUP(B172,'Guest Directory'!$A$5:$B$304,2,FALSE),""))</f>
        <v/>
      </c>
      <c r="D172" s="7" t="n"/>
    </row>
    <row r="173">
      <c r="A173" s="21">
        <f>IF(B173="","",ROW()-4)</f>
        <v/>
      </c>
      <c r="B173" s="7" t="n"/>
      <c r="C173" s="22">
        <f>IF(B173="","",IFERROR(VLOOKUP(B173,'Guest Directory'!$A$5:$B$304,2,FALSE),""))</f>
        <v/>
      </c>
      <c r="D173" s="7" t="n"/>
    </row>
    <row r="174">
      <c r="A174" s="21">
        <f>IF(B174="","",ROW()-4)</f>
        <v/>
      </c>
      <c r="B174" s="7" t="n"/>
      <c r="C174" s="22">
        <f>IF(B174="","",IFERROR(VLOOKUP(B174,'Guest Directory'!$A$5:$B$304,2,FALSE),""))</f>
        <v/>
      </c>
      <c r="D174" s="7" t="n"/>
    </row>
    <row r="175">
      <c r="A175" s="21">
        <f>IF(B175="","",ROW()-4)</f>
        <v/>
      </c>
      <c r="B175" s="7" t="n"/>
      <c r="C175" s="22">
        <f>IF(B175="","",IFERROR(VLOOKUP(B175,'Guest Directory'!$A$5:$B$304,2,FALSE),""))</f>
        <v/>
      </c>
      <c r="D175" s="7" t="n"/>
    </row>
    <row r="176">
      <c r="A176" s="21">
        <f>IF(B176="","",ROW()-4)</f>
        <v/>
      </c>
      <c r="B176" s="7" t="n"/>
      <c r="C176" s="22">
        <f>IF(B176="","",IFERROR(VLOOKUP(B176,'Guest Directory'!$A$5:$B$304,2,FALSE),""))</f>
        <v/>
      </c>
      <c r="D176" s="7" t="n"/>
    </row>
    <row r="177">
      <c r="A177" s="21">
        <f>IF(B177="","",ROW()-4)</f>
        <v/>
      </c>
      <c r="B177" s="7" t="n"/>
      <c r="C177" s="22">
        <f>IF(B177="","",IFERROR(VLOOKUP(B177,'Guest Directory'!$A$5:$B$304,2,FALSE),""))</f>
        <v/>
      </c>
      <c r="D177" s="7" t="n"/>
    </row>
    <row r="178">
      <c r="A178" s="21">
        <f>IF(B178="","",ROW()-4)</f>
        <v/>
      </c>
      <c r="B178" s="7" t="n"/>
      <c r="C178" s="22">
        <f>IF(B178="","",IFERROR(VLOOKUP(B178,'Guest Directory'!$A$5:$B$304,2,FALSE),""))</f>
        <v/>
      </c>
      <c r="D178" s="7" t="n"/>
    </row>
    <row r="179">
      <c r="A179" s="21">
        <f>IF(B179="","",ROW()-4)</f>
        <v/>
      </c>
      <c r="B179" s="7" t="n"/>
      <c r="C179" s="22">
        <f>IF(B179="","",IFERROR(VLOOKUP(B179,'Guest Directory'!$A$5:$B$304,2,FALSE),""))</f>
        <v/>
      </c>
      <c r="D179" s="7" t="n"/>
    </row>
    <row r="180">
      <c r="A180" s="21">
        <f>IF(B180="","",ROW()-4)</f>
        <v/>
      </c>
      <c r="B180" s="7" t="n"/>
      <c r="C180" s="22">
        <f>IF(B180="","",IFERROR(VLOOKUP(B180,'Guest Directory'!$A$5:$B$304,2,FALSE),""))</f>
        <v/>
      </c>
      <c r="D180" s="7" t="n"/>
    </row>
    <row r="181">
      <c r="A181" s="21">
        <f>IF(B181="","",ROW()-4)</f>
        <v/>
      </c>
      <c r="B181" s="7" t="n"/>
      <c r="C181" s="22">
        <f>IF(B181="","",IFERROR(VLOOKUP(B181,'Guest Directory'!$A$5:$B$304,2,FALSE),""))</f>
        <v/>
      </c>
      <c r="D181" s="7" t="n"/>
    </row>
    <row r="182">
      <c r="A182" s="21">
        <f>IF(B182="","",ROW()-4)</f>
        <v/>
      </c>
      <c r="B182" s="7" t="n"/>
      <c r="C182" s="22">
        <f>IF(B182="","",IFERROR(VLOOKUP(B182,'Guest Directory'!$A$5:$B$304,2,FALSE),""))</f>
        <v/>
      </c>
      <c r="D182" s="7" t="n"/>
    </row>
    <row r="183">
      <c r="A183" s="21">
        <f>IF(B183="","",ROW()-4)</f>
        <v/>
      </c>
      <c r="B183" s="7" t="n"/>
      <c r="C183" s="22">
        <f>IF(B183="","",IFERROR(VLOOKUP(B183,'Guest Directory'!$A$5:$B$304,2,FALSE),""))</f>
        <v/>
      </c>
      <c r="D183" s="7" t="n"/>
    </row>
    <row r="184">
      <c r="A184" s="21">
        <f>IF(B184="","",ROW()-4)</f>
        <v/>
      </c>
      <c r="B184" s="7" t="n"/>
      <c r="C184" s="22">
        <f>IF(B184="","",IFERROR(VLOOKUP(B184,'Guest Directory'!$A$5:$B$304,2,FALSE),""))</f>
        <v/>
      </c>
      <c r="D184" s="7" t="n"/>
    </row>
    <row r="185">
      <c r="A185" s="21">
        <f>IF(B185="","",ROW()-4)</f>
        <v/>
      </c>
      <c r="B185" s="7" t="n"/>
      <c r="C185" s="22">
        <f>IF(B185="","",IFERROR(VLOOKUP(B185,'Guest Directory'!$A$5:$B$304,2,FALSE),""))</f>
        <v/>
      </c>
      <c r="D185" s="7" t="n"/>
    </row>
    <row r="186">
      <c r="A186" s="21">
        <f>IF(B186="","",ROW()-4)</f>
        <v/>
      </c>
      <c r="B186" s="7" t="n"/>
      <c r="C186" s="22">
        <f>IF(B186="","",IFERROR(VLOOKUP(B186,'Guest Directory'!$A$5:$B$304,2,FALSE),""))</f>
        <v/>
      </c>
      <c r="D186" s="7" t="n"/>
    </row>
    <row r="187">
      <c r="A187" s="21">
        <f>IF(B187="","",ROW()-4)</f>
        <v/>
      </c>
      <c r="B187" s="7" t="n"/>
      <c r="C187" s="22">
        <f>IF(B187="","",IFERROR(VLOOKUP(B187,'Guest Directory'!$A$5:$B$304,2,FALSE),""))</f>
        <v/>
      </c>
      <c r="D187" s="7" t="n"/>
    </row>
    <row r="188">
      <c r="A188" s="21">
        <f>IF(B188="","",ROW()-4)</f>
        <v/>
      </c>
      <c r="B188" s="7" t="n"/>
      <c r="C188" s="22">
        <f>IF(B188="","",IFERROR(VLOOKUP(B188,'Guest Directory'!$A$5:$B$304,2,FALSE),""))</f>
        <v/>
      </c>
      <c r="D188" s="7" t="n"/>
    </row>
    <row r="189">
      <c r="A189" s="21">
        <f>IF(B189="","",ROW()-4)</f>
        <v/>
      </c>
      <c r="B189" s="7" t="n"/>
      <c r="C189" s="22">
        <f>IF(B189="","",IFERROR(VLOOKUP(B189,'Guest Directory'!$A$5:$B$304,2,FALSE),""))</f>
        <v/>
      </c>
      <c r="D189" s="7" t="n"/>
    </row>
    <row r="190">
      <c r="A190" s="21">
        <f>IF(B190="","",ROW()-4)</f>
        <v/>
      </c>
      <c r="B190" s="7" t="n"/>
      <c r="C190" s="22">
        <f>IF(B190="","",IFERROR(VLOOKUP(B190,'Guest Directory'!$A$5:$B$304,2,FALSE),""))</f>
        <v/>
      </c>
      <c r="D190" s="7" t="n"/>
    </row>
    <row r="191">
      <c r="A191" s="21">
        <f>IF(B191="","",ROW()-4)</f>
        <v/>
      </c>
      <c r="B191" s="7" t="n"/>
      <c r="C191" s="22">
        <f>IF(B191="","",IFERROR(VLOOKUP(B191,'Guest Directory'!$A$5:$B$304,2,FALSE),""))</f>
        <v/>
      </c>
      <c r="D191" s="7" t="n"/>
    </row>
    <row r="192">
      <c r="A192" s="21">
        <f>IF(B192="","",ROW()-4)</f>
        <v/>
      </c>
      <c r="B192" s="7" t="n"/>
      <c r="C192" s="22">
        <f>IF(B192="","",IFERROR(VLOOKUP(B192,'Guest Directory'!$A$5:$B$304,2,FALSE),""))</f>
        <v/>
      </c>
      <c r="D192" s="7" t="n"/>
    </row>
    <row r="193">
      <c r="A193" s="21">
        <f>IF(B193="","",ROW()-4)</f>
        <v/>
      </c>
      <c r="B193" s="7" t="n"/>
      <c r="C193" s="22">
        <f>IF(B193="","",IFERROR(VLOOKUP(B193,'Guest Directory'!$A$5:$B$304,2,FALSE),""))</f>
        <v/>
      </c>
      <c r="D193" s="7" t="n"/>
    </row>
    <row r="194">
      <c r="A194" s="21">
        <f>IF(B194="","",ROW()-4)</f>
        <v/>
      </c>
      <c r="B194" s="7" t="n"/>
      <c r="C194" s="22">
        <f>IF(B194="","",IFERROR(VLOOKUP(B194,'Guest Directory'!$A$5:$B$304,2,FALSE),""))</f>
        <v/>
      </c>
      <c r="D194" s="7" t="n"/>
    </row>
    <row r="195">
      <c r="A195" s="21">
        <f>IF(B195="","",ROW()-4)</f>
        <v/>
      </c>
      <c r="B195" s="7" t="n"/>
      <c r="C195" s="22">
        <f>IF(B195="","",IFERROR(VLOOKUP(B195,'Guest Directory'!$A$5:$B$304,2,FALSE),""))</f>
        <v/>
      </c>
      <c r="D195" s="7" t="n"/>
    </row>
    <row r="196">
      <c r="A196" s="21">
        <f>IF(B196="","",ROW()-4)</f>
        <v/>
      </c>
      <c r="B196" s="7" t="n"/>
      <c r="C196" s="22">
        <f>IF(B196="","",IFERROR(VLOOKUP(B196,'Guest Directory'!$A$5:$B$304,2,FALSE),""))</f>
        <v/>
      </c>
      <c r="D196" s="7" t="n"/>
    </row>
    <row r="197">
      <c r="A197" s="21">
        <f>IF(B197="","",ROW()-4)</f>
        <v/>
      </c>
      <c r="B197" s="7" t="n"/>
      <c r="C197" s="22">
        <f>IF(B197="","",IFERROR(VLOOKUP(B197,'Guest Directory'!$A$5:$B$304,2,FALSE),""))</f>
        <v/>
      </c>
      <c r="D197" s="7" t="n"/>
    </row>
    <row r="198">
      <c r="A198" s="21">
        <f>IF(B198="","",ROW()-4)</f>
        <v/>
      </c>
      <c r="B198" s="7" t="n"/>
      <c r="C198" s="22">
        <f>IF(B198="","",IFERROR(VLOOKUP(B198,'Guest Directory'!$A$5:$B$304,2,FALSE),""))</f>
        <v/>
      </c>
      <c r="D198" s="7" t="n"/>
    </row>
    <row r="199">
      <c r="A199" s="21">
        <f>IF(B199="","",ROW()-4)</f>
        <v/>
      </c>
      <c r="B199" s="7" t="n"/>
      <c r="C199" s="22">
        <f>IF(B199="","",IFERROR(VLOOKUP(B199,'Guest Directory'!$A$5:$B$304,2,FALSE),""))</f>
        <v/>
      </c>
      <c r="D199" s="7" t="n"/>
    </row>
    <row r="200">
      <c r="A200" s="21">
        <f>IF(B200="","",ROW()-4)</f>
        <v/>
      </c>
      <c r="B200" s="7" t="n"/>
      <c r="C200" s="22">
        <f>IF(B200="","",IFERROR(VLOOKUP(B200,'Guest Directory'!$A$5:$B$304,2,FALSE),""))</f>
        <v/>
      </c>
      <c r="D200" s="7" t="n"/>
    </row>
    <row r="201">
      <c r="A201" s="21">
        <f>IF(B201="","",ROW()-4)</f>
        <v/>
      </c>
      <c r="B201" s="7" t="n"/>
      <c r="C201" s="22">
        <f>IF(B201="","",IFERROR(VLOOKUP(B201,'Guest Directory'!$A$5:$B$304,2,FALSE),""))</f>
        <v/>
      </c>
      <c r="D201" s="7" t="n"/>
    </row>
    <row r="202">
      <c r="A202" s="21">
        <f>IF(B202="","",ROW()-4)</f>
        <v/>
      </c>
      <c r="B202" s="7" t="n"/>
      <c r="C202" s="22">
        <f>IF(B202="","",IFERROR(VLOOKUP(B202,'Guest Directory'!$A$5:$B$304,2,FALSE),""))</f>
        <v/>
      </c>
      <c r="D202" s="7" t="n"/>
    </row>
    <row r="203">
      <c r="A203" s="21">
        <f>IF(B203="","",ROW()-4)</f>
        <v/>
      </c>
      <c r="B203" s="7" t="n"/>
      <c r="C203" s="22">
        <f>IF(B203="","",IFERROR(VLOOKUP(B203,'Guest Directory'!$A$5:$B$304,2,FALSE),""))</f>
        <v/>
      </c>
      <c r="D203" s="7" t="n"/>
    </row>
    <row r="204">
      <c r="A204" s="21">
        <f>IF(B204="","",ROW()-4)</f>
        <v/>
      </c>
      <c r="B204" s="7" t="n"/>
      <c r="C204" s="22">
        <f>IF(B204="","",IFERROR(VLOOKUP(B204,'Guest Directory'!$A$5:$B$304,2,FALSE),""))</f>
        <v/>
      </c>
      <c r="D204" s="7" t="n"/>
    </row>
    <row r="205">
      <c r="A205" s="21">
        <f>IF(B205="","",ROW()-4)</f>
        <v/>
      </c>
      <c r="B205" s="7" t="n"/>
      <c r="C205" s="22">
        <f>IF(B205="","",IFERROR(VLOOKUP(B205,'Guest Directory'!$A$5:$B$304,2,FALSE),""))</f>
        <v/>
      </c>
      <c r="D205" s="7" t="n"/>
    </row>
    <row r="206">
      <c r="A206" s="21">
        <f>IF(B206="","",ROW()-4)</f>
        <v/>
      </c>
      <c r="B206" s="7" t="n"/>
      <c r="C206" s="22">
        <f>IF(B206="","",IFERROR(VLOOKUP(B206,'Guest Directory'!$A$5:$B$304,2,FALSE),""))</f>
        <v/>
      </c>
      <c r="D206" s="7" t="n"/>
    </row>
    <row r="207">
      <c r="A207" s="21">
        <f>IF(B207="","",ROW()-4)</f>
        <v/>
      </c>
      <c r="B207" s="7" t="n"/>
      <c r="C207" s="22">
        <f>IF(B207="","",IFERROR(VLOOKUP(B207,'Guest Directory'!$A$5:$B$304,2,FALSE),""))</f>
        <v/>
      </c>
      <c r="D207" s="7" t="n"/>
    </row>
    <row r="208">
      <c r="A208" s="21">
        <f>IF(B208="","",ROW()-4)</f>
        <v/>
      </c>
      <c r="B208" s="7" t="n"/>
      <c r="C208" s="22">
        <f>IF(B208="","",IFERROR(VLOOKUP(B208,'Guest Directory'!$A$5:$B$304,2,FALSE),""))</f>
        <v/>
      </c>
      <c r="D208" s="7" t="n"/>
    </row>
    <row r="209">
      <c r="A209" s="21">
        <f>IF(B209="","",ROW()-4)</f>
        <v/>
      </c>
      <c r="B209" s="7" t="n"/>
      <c r="C209" s="22">
        <f>IF(B209="","",IFERROR(VLOOKUP(B209,'Guest Directory'!$A$5:$B$304,2,FALSE),""))</f>
        <v/>
      </c>
      <c r="D209" s="7" t="n"/>
    </row>
    <row r="210">
      <c r="A210" s="21">
        <f>IF(B210="","",ROW()-4)</f>
        <v/>
      </c>
      <c r="B210" s="7" t="n"/>
      <c r="C210" s="22">
        <f>IF(B210="","",IFERROR(VLOOKUP(B210,'Guest Directory'!$A$5:$B$304,2,FALSE),""))</f>
        <v/>
      </c>
      <c r="D210" s="7" t="n"/>
    </row>
    <row r="211">
      <c r="A211" s="21">
        <f>IF(B211="","",ROW()-4)</f>
        <v/>
      </c>
      <c r="B211" s="7" t="n"/>
      <c r="C211" s="22">
        <f>IF(B211="","",IFERROR(VLOOKUP(B211,'Guest Directory'!$A$5:$B$304,2,FALSE),""))</f>
        <v/>
      </c>
      <c r="D211" s="7" t="n"/>
    </row>
    <row r="212">
      <c r="A212" s="21">
        <f>IF(B212="","",ROW()-4)</f>
        <v/>
      </c>
      <c r="B212" s="7" t="n"/>
      <c r="C212" s="22">
        <f>IF(B212="","",IFERROR(VLOOKUP(B212,'Guest Directory'!$A$5:$B$304,2,FALSE),""))</f>
        <v/>
      </c>
      <c r="D212" s="7" t="n"/>
    </row>
    <row r="213">
      <c r="A213" s="21">
        <f>IF(B213="","",ROW()-4)</f>
        <v/>
      </c>
      <c r="B213" s="7" t="n"/>
      <c r="C213" s="22">
        <f>IF(B213="","",IFERROR(VLOOKUP(B213,'Guest Directory'!$A$5:$B$304,2,FALSE),""))</f>
        <v/>
      </c>
      <c r="D213" s="7" t="n"/>
    </row>
    <row r="214">
      <c r="A214" s="21">
        <f>IF(B214="","",ROW()-4)</f>
        <v/>
      </c>
      <c r="B214" s="7" t="n"/>
      <c r="C214" s="22">
        <f>IF(B214="","",IFERROR(VLOOKUP(B214,'Guest Directory'!$A$5:$B$304,2,FALSE),""))</f>
        <v/>
      </c>
      <c r="D214" s="7" t="n"/>
    </row>
    <row r="215">
      <c r="A215" s="21">
        <f>IF(B215="","",ROW()-4)</f>
        <v/>
      </c>
      <c r="B215" s="7" t="n"/>
      <c r="C215" s="22">
        <f>IF(B215="","",IFERROR(VLOOKUP(B215,'Guest Directory'!$A$5:$B$304,2,FALSE),""))</f>
        <v/>
      </c>
      <c r="D215" s="7" t="n"/>
    </row>
    <row r="216">
      <c r="A216" s="21">
        <f>IF(B216="","",ROW()-4)</f>
        <v/>
      </c>
      <c r="B216" s="7" t="n"/>
      <c r="C216" s="22">
        <f>IF(B216="","",IFERROR(VLOOKUP(B216,'Guest Directory'!$A$5:$B$304,2,FALSE),""))</f>
        <v/>
      </c>
      <c r="D216" s="7" t="n"/>
    </row>
    <row r="217">
      <c r="A217" s="21">
        <f>IF(B217="","",ROW()-4)</f>
        <v/>
      </c>
      <c r="B217" s="7" t="n"/>
      <c r="C217" s="22">
        <f>IF(B217="","",IFERROR(VLOOKUP(B217,'Guest Directory'!$A$5:$B$304,2,FALSE),""))</f>
        <v/>
      </c>
      <c r="D217" s="7" t="n"/>
    </row>
    <row r="218">
      <c r="A218" s="21">
        <f>IF(B218="","",ROW()-4)</f>
        <v/>
      </c>
      <c r="B218" s="7" t="n"/>
      <c r="C218" s="22">
        <f>IF(B218="","",IFERROR(VLOOKUP(B218,'Guest Directory'!$A$5:$B$304,2,FALSE),""))</f>
        <v/>
      </c>
      <c r="D218" s="7" t="n"/>
    </row>
    <row r="219">
      <c r="A219" s="21">
        <f>IF(B219="","",ROW()-4)</f>
        <v/>
      </c>
      <c r="B219" s="7" t="n"/>
      <c r="C219" s="22">
        <f>IF(B219="","",IFERROR(VLOOKUP(B219,'Guest Directory'!$A$5:$B$304,2,FALSE),""))</f>
        <v/>
      </c>
      <c r="D219" s="7" t="n"/>
    </row>
    <row r="220">
      <c r="A220" s="21">
        <f>IF(B220="","",ROW()-4)</f>
        <v/>
      </c>
      <c r="B220" s="7" t="n"/>
      <c r="C220" s="22">
        <f>IF(B220="","",IFERROR(VLOOKUP(B220,'Guest Directory'!$A$5:$B$304,2,FALSE),""))</f>
        <v/>
      </c>
      <c r="D220" s="7" t="n"/>
    </row>
    <row r="221">
      <c r="A221" s="21">
        <f>IF(B221="","",ROW()-4)</f>
        <v/>
      </c>
      <c r="B221" s="7" t="n"/>
      <c r="C221" s="22">
        <f>IF(B221="","",IFERROR(VLOOKUP(B221,'Guest Directory'!$A$5:$B$304,2,FALSE),""))</f>
        <v/>
      </c>
      <c r="D221" s="7" t="n"/>
    </row>
    <row r="222">
      <c r="A222" s="21">
        <f>IF(B222="","",ROW()-4)</f>
        <v/>
      </c>
      <c r="B222" s="7" t="n"/>
      <c r="C222" s="22">
        <f>IF(B222="","",IFERROR(VLOOKUP(B222,'Guest Directory'!$A$5:$B$304,2,FALSE),""))</f>
        <v/>
      </c>
      <c r="D222" s="7" t="n"/>
    </row>
    <row r="223">
      <c r="A223" s="21">
        <f>IF(B223="","",ROW()-4)</f>
        <v/>
      </c>
      <c r="B223" s="7" t="n"/>
      <c r="C223" s="22">
        <f>IF(B223="","",IFERROR(VLOOKUP(B223,'Guest Directory'!$A$5:$B$304,2,FALSE),""))</f>
        <v/>
      </c>
      <c r="D223" s="7" t="n"/>
    </row>
    <row r="224">
      <c r="A224" s="21">
        <f>IF(B224="","",ROW()-4)</f>
        <v/>
      </c>
      <c r="B224" s="7" t="n"/>
      <c r="C224" s="22">
        <f>IF(B224="","",IFERROR(VLOOKUP(B224,'Guest Directory'!$A$5:$B$304,2,FALSE),""))</f>
        <v/>
      </c>
      <c r="D224" s="7" t="n"/>
    </row>
    <row r="225">
      <c r="A225" s="21">
        <f>IF(B225="","",ROW()-4)</f>
        <v/>
      </c>
      <c r="B225" s="7" t="n"/>
      <c r="C225" s="22">
        <f>IF(B225="","",IFERROR(VLOOKUP(B225,'Guest Directory'!$A$5:$B$304,2,FALSE),""))</f>
        <v/>
      </c>
      <c r="D225" s="7" t="n"/>
    </row>
    <row r="226">
      <c r="A226" s="21">
        <f>IF(B226="","",ROW()-4)</f>
        <v/>
      </c>
      <c r="B226" s="7" t="n"/>
      <c r="C226" s="22">
        <f>IF(B226="","",IFERROR(VLOOKUP(B226,'Guest Directory'!$A$5:$B$304,2,FALSE),""))</f>
        <v/>
      </c>
      <c r="D226" s="7" t="n"/>
    </row>
    <row r="227">
      <c r="A227" s="21">
        <f>IF(B227="","",ROW()-4)</f>
        <v/>
      </c>
      <c r="B227" s="7" t="n"/>
      <c r="C227" s="22">
        <f>IF(B227="","",IFERROR(VLOOKUP(B227,'Guest Directory'!$A$5:$B$304,2,FALSE),""))</f>
        <v/>
      </c>
      <c r="D227" s="7" t="n"/>
    </row>
    <row r="228">
      <c r="A228" s="21">
        <f>IF(B228="","",ROW()-4)</f>
        <v/>
      </c>
      <c r="B228" s="7" t="n"/>
      <c r="C228" s="22">
        <f>IF(B228="","",IFERROR(VLOOKUP(B228,'Guest Directory'!$A$5:$B$304,2,FALSE),""))</f>
        <v/>
      </c>
      <c r="D228" s="7" t="n"/>
    </row>
    <row r="229">
      <c r="A229" s="21">
        <f>IF(B229="","",ROW()-4)</f>
        <v/>
      </c>
      <c r="B229" s="7" t="n"/>
      <c r="C229" s="22">
        <f>IF(B229="","",IFERROR(VLOOKUP(B229,'Guest Directory'!$A$5:$B$304,2,FALSE),""))</f>
        <v/>
      </c>
      <c r="D229" s="7" t="n"/>
    </row>
    <row r="230">
      <c r="A230" s="21">
        <f>IF(B230="","",ROW()-4)</f>
        <v/>
      </c>
      <c r="B230" s="7" t="n"/>
      <c r="C230" s="22">
        <f>IF(B230="","",IFERROR(VLOOKUP(B230,'Guest Directory'!$A$5:$B$304,2,FALSE),""))</f>
        <v/>
      </c>
      <c r="D230" s="7" t="n"/>
    </row>
    <row r="231">
      <c r="A231" s="21">
        <f>IF(B231="","",ROW()-4)</f>
        <v/>
      </c>
      <c r="B231" s="7" t="n"/>
      <c r="C231" s="22">
        <f>IF(B231="","",IFERROR(VLOOKUP(B231,'Guest Directory'!$A$5:$B$304,2,FALSE),""))</f>
        <v/>
      </c>
      <c r="D231" s="7" t="n"/>
    </row>
    <row r="232">
      <c r="A232" s="21">
        <f>IF(B232="","",ROW()-4)</f>
        <v/>
      </c>
      <c r="B232" s="7" t="n"/>
      <c r="C232" s="22">
        <f>IF(B232="","",IFERROR(VLOOKUP(B232,'Guest Directory'!$A$5:$B$304,2,FALSE),""))</f>
        <v/>
      </c>
      <c r="D232" s="7" t="n"/>
    </row>
    <row r="233">
      <c r="A233" s="21">
        <f>IF(B233="","",ROW()-4)</f>
        <v/>
      </c>
      <c r="B233" s="7" t="n"/>
      <c r="C233" s="22">
        <f>IF(B233="","",IFERROR(VLOOKUP(B233,'Guest Directory'!$A$5:$B$304,2,FALSE),""))</f>
        <v/>
      </c>
      <c r="D233" s="7" t="n"/>
    </row>
    <row r="234">
      <c r="A234" s="21">
        <f>IF(B234="","",ROW()-4)</f>
        <v/>
      </c>
      <c r="B234" s="7" t="n"/>
      <c r="C234" s="22">
        <f>IF(B234="","",IFERROR(VLOOKUP(B234,'Guest Directory'!$A$5:$B$304,2,FALSE),""))</f>
        <v/>
      </c>
      <c r="D234" s="7" t="n"/>
    </row>
    <row r="235">
      <c r="A235" s="21">
        <f>IF(B235="","",ROW()-4)</f>
        <v/>
      </c>
      <c r="B235" s="7" t="n"/>
      <c r="C235" s="22">
        <f>IF(B235="","",IFERROR(VLOOKUP(B235,'Guest Directory'!$A$5:$B$304,2,FALSE),""))</f>
        <v/>
      </c>
      <c r="D235" s="7" t="n"/>
    </row>
    <row r="236">
      <c r="A236" s="21">
        <f>IF(B236="","",ROW()-4)</f>
        <v/>
      </c>
      <c r="B236" s="7" t="n"/>
      <c r="C236" s="22">
        <f>IF(B236="","",IFERROR(VLOOKUP(B236,'Guest Directory'!$A$5:$B$304,2,FALSE),""))</f>
        <v/>
      </c>
      <c r="D236" s="7" t="n"/>
    </row>
    <row r="237">
      <c r="A237" s="21">
        <f>IF(B237="","",ROW()-4)</f>
        <v/>
      </c>
      <c r="B237" s="7" t="n"/>
      <c r="C237" s="22">
        <f>IF(B237="","",IFERROR(VLOOKUP(B237,'Guest Directory'!$A$5:$B$304,2,FALSE),""))</f>
        <v/>
      </c>
      <c r="D237" s="7" t="n"/>
    </row>
    <row r="238">
      <c r="A238" s="21">
        <f>IF(B238="","",ROW()-4)</f>
        <v/>
      </c>
      <c r="B238" s="7" t="n"/>
      <c r="C238" s="22">
        <f>IF(B238="","",IFERROR(VLOOKUP(B238,'Guest Directory'!$A$5:$B$304,2,FALSE),""))</f>
        <v/>
      </c>
      <c r="D238" s="7" t="n"/>
    </row>
    <row r="239">
      <c r="A239" s="21">
        <f>IF(B239="","",ROW()-4)</f>
        <v/>
      </c>
      <c r="B239" s="7" t="n"/>
      <c r="C239" s="22">
        <f>IF(B239="","",IFERROR(VLOOKUP(B239,'Guest Directory'!$A$5:$B$304,2,FALSE),""))</f>
        <v/>
      </c>
      <c r="D239" s="7" t="n"/>
    </row>
    <row r="240">
      <c r="A240" s="21">
        <f>IF(B240="","",ROW()-4)</f>
        <v/>
      </c>
      <c r="B240" s="7" t="n"/>
      <c r="C240" s="22">
        <f>IF(B240="","",IFERROR(VLOOKUP(B240,'Guest Directory'!$A$5:$B$304,2,FALSE),""))</f>
        <v/>
      </c>
      <c r="D240" s="7" t="n"/>
    </row>
    <row r="241">
      <c r="A241" s="21">
        <f>IF(B241="","",ROW()-4)</f>
        <v/>
      </c>
      <c r="B241" s="7" t="n"/>
      <c r="C241" s="22">
        <f>IF(B241="","",IFERROR(VLOOKUP(B241,'Guest Directory'!$A$5:$B$304,2,FALSE),""))</f>
        <v/>
      </c>
      <c r="D241" s="7" t="n"/>
    </row>
    <row r="242">
      <c r="A242" s="21">
        <f>IF(B242="","",ROW()-4)</f>
        <v/>
      </c>
      <c r="B242" s="7" t="n"/>
      <c r="C242" s="22">
        <f>IF(B242="","",IFERROR(VLOOKUP(B242,'Guest Directory'!$A$5:$B$304,2,FALSE),""))</f>
        <v/>
      </c>
      <c r="D242" s="7" t="n"/>
    </row>
    <row r="243">
      <c r="A243" s="21">
        <f>IF(B243="","",ROW()-4)</f>
        <v/>
      </c>
      <c r="B243" s="7" t="n"/>
      <c r="C243" s="22">
        <f>IF(B243="","",IFERROR(VLOOKUP(B243,'Guest Directory'!$A$5:$B$304,2,FALSE),""))</f>
        <v/>
      </c>
      <c r="D243" s="7" t="n"/>
    </row>
    <row r="244">
      <c r="A244" s="21">
        <f>IF(B244="","",ROW()-4)</f>
        <v/>
      </c>
      <c r="B244" s="7" t="n"/>
      <c r="C244" s="22">
        <f>IF(B244="","",IFERROR(VLOOKUP(B244,'Guest Directory'!$A$5:$B$304,2,FALSE),""))</f>
        <v/>
      </c>
      <c r="D244" s="7" t="n"/>
    </row>
    <row r="245">
      <c r="A245" s="21">
        <f>IF(B245="","",ROW()-4)</f>
        <v/>
      </c>
      <c r="B245" s="7" t="n"/>
      <c r="C245" s="22">
        <f>IF(B245="","",IFERROR(VLOOKUP(B245,'Guest Directory'!$A$5:$B$304,2,FALSE),""))</f>
        <v/>
      </c>
      <c r="D245" s="7" t="n"/>
    </row>
    <row r="246">
      <c r="A246" s="21">
        <f>IF(B246="","",ROW()-4)</f>
        <v/>
      </c>
      <c r="B246" s="7" t="n"/>
      <c r="C246" s="22">
        <f>IF(B246="","",IFERROR(VLOOKUP(B246,'Guest Directory'!$A$5:$B$304,2,FALSE),""))</f>
        <v/>
      </c>
      <c r="D246" s="7" t="n"/>
    </row>
    <row r="247">
      <c r="A247" s="21">
        <f>IF(B247="","",ROW()-4)</f>
        <v/>
      </c>
      <c r="B247" s="7" t="n"/>
      <c r="C247" s="22">
        <f>IF(B247="","",IFERROR(VLOOKUP(B247,'Guest Directory'!$A$5:$B$304,2,FALSE),""))</f>
        <v/>
      </c>
      <c r="D247" s="7" t="n"/>
    </row>
    <row r="248">
      <c r="A248" s="21">
        <f>IF(B248="","",ROW()-4)</f>
        <v/>
      </c>
      <c r="B248" s="7" t="n"/>
      <c r="C248" s="22">
        <f>IF(B248="","",IFERROR(VLOOKUP(B248,'Guest Directory'!$A$5:$B$304,2,FALSE),""))</f>
        <v/>
      </c>
      <c r="D248" s="7" t="n"/>
    </row>
    <row r="249">
      <c r="A249" s="21">
        <f>IF(B249="","",ROW()-4)</f>
        <v/>
      </c>
      <c r="B249" s="7" t="n"/>
      <c r="C249" s="22">
        <f>IF(B249="","",IFERROR(VLOOKUP(B249,'Guest Directory'!$A$5:$B$304,2,FALSE),""))</f>
        <v/>
      </c>
      <c r="D249" s="7" t="n"/>
    </row>
    <row r="250">
      <c r="A250" s="21">
        <f>IF(B250="","",ROW()-4)</f>
        <v/>
      </c>
      <c r="B250" s="7" t="n"/>
      <c r="C250" s="22">
        <f>IF(B250="","",IFERROR(VLOOKUP(B250,'Guest Directory'!$A$5:$B$304,2,FALSE),""))</f>
        <v/>
      </c>
      <c r="D250" s="7" t="n"/>
    </row>
    <row r="251">
      <c r="A251" s="21">
        <f>IF(B251="","",ROW()-4)</f>
        <v/>
      </c>
      <c r="B251" s="7" t="n"/>
      <c r="C251" s="22">
        <f>IF(B251="","",IFERROR(VLOOKUP(B251,'Guest Directory'!$A$5:$B$304,2,FALSE),""))</f>
        <v/>
      </c>
      <c r="D251" s="7" t="n"/>
    </row>
    <row r="252">
      <c r="A252" s="21">
        <f>IF(B252="","",ROW()-4)</f>
        <v/>
      </c>
      <c r="B252" s="7" t="n"/>
      <c r="C252" s="22">
        <f>IF(B252="","",IFERROR(VLOOKUP(B252,'Guest Directory'!$A$5:$B$304,2,FALSE),""))</f>
        <v/>
      </c>
      <c r="D252" s="7" t="n"/>
    </row>
    <row r="253">
      <c r="A253" s="21">
        <f>IF(B253="","",ROW()-4)</f>
        <v/>
      </c>
      <c r="B253" s="7" t="n"/>
      <c r="C253" s="22">
        <f>IF(B253="","",IFERROR(VLOOKUP(B253,'Guest Directory'!$A$5:$B$304,2,FALSE),""))</f>
        <v/>
      </c>
      <c r="D253" s="7" t="n"/>
    </row>
    <row r="254">
      <c r="A254" s="21">
        <f>IF(B254="","",ROW()-4)</f>
        <v/>
      </c>
      <c r="B254" s="7" t="n"/>
      <c r="C254" s="22">
        <f>IF(B254="","",IFERROR(VLOOKUP(B254,'Guest Directory'!$A$5:$B$304,2,FALSE),""))</f>
        <v/>
      </c>
      <c r="D254" s="7" t="n"/>
    </row>
    <row r="255">
      <c r="A255" s="21">
        <f>IF(B255="","",ROW()-4)</f>
        <v/>
      </c>
      <c r="B255" s="7" t="n"/>
      <c r="C255" s="22">
        <f>IF(B255="","",IFERROR(VLOOKUP(B255,'Guest Directory'!$A$5:$B$304,2,FALSE),""))</f>
        <v/>
      </c>
      <c r="D255" s="7" t="n"/>
    </row>
    <row r="256">
      <c r="A256" s="21">
        <f>IF(B256="","",ROW()-4)</f>
        <v/>
      </c>
      <c r="B256" s="7" t="n"/>
      <c r="C256" s="22">
        <f>IF(B256="","",IFERROR(VLOOKUP(B256,'Guest Directory'!$A$5:$B$304,2,FALSE),""))</f>
        <v/>
      </c>
      <c r="D256" s="7" t="n"/>
    </row>
    <row r="257">
      <c r="A257" s="21">
        <f>IF(B257="","",ROW()-4)</f>
        <v/>
      </c>
      <c r="B257" s="7" t="n"/>
      <c r="C257" s="22">
        <f>IF(B257="","",IFERROR(VLOOKUP(B257,'Guest Directory'!$A$5:$B$304,2,FALSE),""))</f>
        <v/>
      </c>
      <c r="D257" s="7" t="n"/>
    </row>
    <row r="258">
      <c r="A258" s="21">
        <f>IF(B258="","",ROW()-4)</f>
        <v/>
      </c>
      <c r="B258" s="7" t="n"/>
      <c r="C258" s="22">
        <f>IF(B258="","",IFERROR(VLOOKUP(B258,'Guest Directory'!$A$5:$B$304,2,FALSE),""))</f>
        <v/>
      </c>
      <c r="D258" s="7" t="n"/>
    </row>
    <row r="259">
      <c r="A259" s="21">
        <f>IF(B259="","",ROW()-4)</f>
        <v/>
      </c>
      <c r="B259" s="7" t="n"/>
      <c r="C259" s="22">
        <f>IF(B259="","",IFERROR(VLOOKUP(B259,'Guest Directory'!$A$5:$B$304,2,FALSE),""))</f>
        <v/>
      </c>
      <c r="D259" s="7" t="n"/>
    </row>
    <row r="260">
      <c r="A260" s="21">
        <f>IF(B260="","",ROW()-4)</f>
        <v/>
      </c>
      <c r="B260" s="7" t="n"/>
      <c r="C260" s="22">
        <f>IF(B260="","",IFERROR(VLOOKUP(B260,'Guest Directory'!$A$5:$B$304,2,FALSE),""))</f>
        <v/>
      </c>
      <c r="D260" s="7" t="n"/>
    </row>
    <row r="261">
      <c r="A261" s="21">
        <f>IF(B261="","",ROW()-4)</f>
        <v/>
      </c>
      <c r="B261" s="7" t="n"/>
      <c r="C261" s="22">
        <f>IF(B261="","",IFERROR(VLOOKUP(B261,'Guest Directory'!$A$5:$B$304,2,FALSE),""))</f>
        <v/>
      </c>
      <c r="D261" s="7" t="n"/>
    </row>
    <row r="262">
      <c r="A262" s="21">
        <f>IF(B262="","",ROW()-4)</f>
        <v/>
      </c>
      <c r="B262" s="7" t="n"/>
      <c r="C262" s="22">
        <f>IF(B262="","",IFERROR(VLOOKUP(B262,'Guest Directory'!$A$5:$B$304,2,FALSE),""))</f>
        <v/>
      </c>
      <c r="D262" s="7" t="n"/>
    </row>
    <row r="263">
      <c r="A263" s="21">
        <f>IF(B263="","",ROW()-4)</f>
        <v/>
      </c>
      <c r="B263" s="7" t="n"/>
      <c r="C263" s="22">
        <f>IF(B263="","",IFERROR(VLOOKUP(B263,'Guest Directory'!$A$5:$B$304,2,FALSE),""))</f>
        <v/>
      </c>
      <c r="D263" s="7" t="n"/>
    </row>
    <row r="264">
      <c r="A264" s="21">
        <f>IF(B264="","",ROW()-4)</f>
        <v/>
      </c>
      <c r="B264" s="7" t="n"/>
      <c r="C264" s="22">
        <f>IF(B264="","",IFERROR(VLOOKUP(B264,'Guest Directory'!$A$5:$B$304,2,FALSE),""))</f>
        <v/>
      </c>
      <c r="D264" s="7" t="n"/>
    </row>
    <row r="265">
      <c r="A265" s="21">
        <f>IF(B265="","",ROW()-4)</f>
        <v/>
      </c>
      <c r="B265" s="7" t="n"/>
      <c r="C265" s="22">
        <f>IF(B265="","",IFERROR(VLOOKUP(B265,'Guest Directory'!$A$5:$B$304,2,FALSE),""))</f>
        <v/>
      </c>
      <c r="D265" s="7" t="n"/>
    </row>
    <row r="266">
      <c r="A266" s="21">
        <f>IF(B266="","",ROW()-4)</f>
        <v/>
      </c>
      <c r="B266" s="7" t="n"/>
      <c r="C266" s="22">
        <f>IF(B266="","",IFERROR(VLOOKUP(B266,'Guest Directory'!$A$5:$B$304,2,FALSE),""))</f>
        <v/>
      </c>
      <c r="D266" s="7" t="n"/>
    </row>
    <row r="267">
      <c r="A267" s="21">
        <f>IF(B267="","",ROW()-4)</f>
        <v/>
      </c>
      <c r="B267" s="7" t="n"/>
      <c r="C267" s="22">
        <f>IF(B267="","",IFERROR(VLOOKUP(B267,'Guest Directory'!$A$5:$B$304,2,FALSE),""))</f>
        <v/>
      </c>
      <c r="D267" s="7" t="n"/>
    </row>
    <row r="268">
      <c r="A268" s="21">
        <f>IF(B268="","",ROW()-4)</f>
        <v/>
      </c>
      <c r="B268" s="7" t="n"/>
      <c r="C268" s="22">
        <f>IF(B268="","",IFERROR(VLOOKUP(B268,'Guest Directory'!$A$5:$B$304,2,FALSE),""))</f>
        <v/>
      </c>
      <c r="D268" s="7" t="n"/>
    </row>
    <row r="269">
      <c r="A269" s="21">
        <f>IF(B269="","",ROW()-4)</f>
        <v/>
      </c>
      <c r="B269" s="7" t="n"/>
      <c r="C269" s="22">
        <f>IF(B269="","",IFERROR(VLOOKUP(B269,'Guest Directory'!$A$5:$B$304,2,FALSE),""))</f>
        <v/>
      </c>
      <c r="D269" s="7" t="n"/>
    </row>
    <row r="270">
      <c r="A270" s="21">
        <f>IF(B270="","",ROW()-4)</f>
        <v/>
      </c>
      <c r="B270" s="7" t="n"/>
      <c r="C270" s="22">
        <f>IF(B270="","",IFERROR(VLOOKUP(B270,'Guest Directory'!$A$5:$B$304,2,FALSE),""))</f>
        <v/>
      </c>
      <c r="D270" s="7" t="n"/>
    </row>
    <row r="271">
      <c r="A271" s="21">
        <f>IF(B271="","",ROW()-4)</f>
        <v/>
      </c>
      <c r="B271" s="7" t="n"/>
      <c r="C271" s="22">
        <f>IF(B271="","",IFERROR(VLOOKUP(B271,'Guest Directory'!$A$5:$B$304,2,FALSE),""))</f>
        <v/>
      </c>
      <c r="D271" s="7" t="n"/>
    </row>
    <row r="272">
      <c r="A272" s="21">
        <f>IF(B272="","",ROW()-4)</f>
        <v/>
      </c>
      <c r="B272" s="7" t="n"/>
      <c r="C272" s="22">
        <f>IF(B272="","",IFERROR(VLOOKUP(B272,'Guest Directory'!$A$5:$B$304,2,FALSE),""))</f>
        <v/>
      </c>
      <c r="D272" s="7" t="n"/>
    </row>
    <row r="273">
      <c r="A273" s="21">
        <f>IF(B273="","",ROW()-4)</f>
        <v/>
      </c>
      <c r="B273" s="7" t="n"/>
      <c r="C273" s="22">
        <f>IF(B273="","",IFERROR(VLOOKUP(B273,'Guest Directory'!$A$5:$B$304,2,FALSE),""))</f>
        <v/>
      </c>
      <c r="D273" s="7" t="n"/>
    </row>
    <row r="274">
      <c r="A274" s="21">
        <f>IF(B274="","",ROW()-4)</f>
        <v/>
      </c>
      <c r="B274" s="7" t="n"/>
      <c r="C274" s="22">
        <f>IF(B274="","",IFERROR(VLOOKUP(B274,'Guest Directory'!$A$5:$B$304,2,FALSE),""))</f>
        <v/>
      </c>
      <c r="D274" s="7" t="n"/>
    </row>
    <row r="275">
      <c r="A275" s="21">
        <f>IF(B275="","",ROW()-4)</f>
        <v/>
      </c>
      <c r="B275" s="7" t="n"/>
      <c r="C275" s="22">
        <f>IF(B275="","",IFERROR(VLOOKUP(B275,'Guest Directory'!$A$5:$B$304,2,FALSE),""))</f>
        <v/>
      </c>
      <c r="D275" s="7" t="n"/>
    </row>
    <row r="276">
      <c r="A276" s="21">
        <f>IF(B276="","",ROW()-4)</f>
        <v/>
      </c>
      <c r="B276" s="7" t="n"/>
      <c r="C276" s="22">
        <f>IF(B276="","",IFERROR(VLOOKUP(B276,'Guest Directory'!$A$5:$B$304,2,FALSE),""))</f>
        <v/>
      </c>
      <c r="D276" s="7" t="n"/>
    </row>
    <row r="277">
      <c r="A277" s="21">
        <f>IF(B277="","",ROW()-4)</f>
        <v/>
      </c>
      <c r="B277" s="7" t="n"/>
      <c r="C277" s="22">
        <f>IF(B277="","",IFERROR(VLOOKUP(B277,'Guest Directory'!$A$5:$B$304,2,FALSE),""))</f>
        <v/>
      </c>
      <c r="D277" s="7" t="n"/>
    </row>
    <row r="278">
      <c r="A278" s="21">
        <f>IF(B278="","",ROW()-4)</f>
        <v/>
      </c>
      <c r="B278" s="7" t="n"/>
      <c r="C278" s="22">
        <f>IF(B278="","",IFERROR(VLOOKUP(B278,'Guest Directory'!$A$5:$B$304,2,FALSE),""))</f>
        <v/>
      </c>
      <c r="D278" s="7" t="n"/>
    </row>
    <row r="279">
      <c r="A279" s="21">
        <f>IF(B279="","",ROW()-4)</f>
        <v/>
      </c>
      <c r="B279" s="7" t="n"/>
      <c r="C279" s="22">
        <f>IF(B279="","",IFERROR(VLOOKUP(B279,'Guest Directory'!$A$5:$B$304,2,FALSE),""))</f>
        <v/>
      </c>
      <c r="D279" s="7" t="n"/>
    </row>
    <row r="280">
      <c r="A280" s="21">
        <f>IF(B280="","",ROW()-4)</f>
        <v/>
      </c>
      <c r="B280" s="7" t="n"/>
      <c r="C280" s="22">
        <f>IF(B280="","",IFERROR(VLOOKUP(B280,'Guest Directory'!$A$5:$B$304,2,FALSE),""))</f>
        <v/>
      </c>
      <c r="D280" s="7" t="n"/>
    </row>
    <row r="281">
      <c r="A281" s="21">
        <f>IF(B281="","",ROW()-4)</f>
        <v/>
      </c>
      <c r="B281" s="7" t="n"/>
      <c r="C281" s="22">
        <f>IF(B281="","",IFERROR(VLOOKUP(B281,'Guest Directory'!$A$5:$B$304,2,FALSE),""))</f>
        <v/>
      </c>
      <c r="D281" s="7" t="n"/>
    </row>
    <row r="282">
      <c r="A282" s="21">
        <f>IF(B282="","",ROW()-4)</f>
        <v/>
      </c>
      <c r="B282" s="7" t="n"/>
      <c r="C282" s="22">
        <f>IF(B282="","",IFERROR(VLOOKUP(B282,'Guest Directory'!$A$5:$B$304,2,FALSE),""))</f>
        <v/>
      </c>
      <c r="D282" s="7" t="n"/>
    </row>
    <row r="283">
      <c r="A283" s="21">
        <f>IF(B283="","",ROW()-4)</f>
        <v/>
      </c>
      <c r="B283" s="7" t="n"/>
      <c r="C283" s="22">
        <f>IF(B283="","",IFERROR(VLOOKUP(B283,'Guest Directory'!$A$5:$B$304,2,FALSE),""))</f>
        <v/>
      </c>
      <c r="D283" s="7" t="n"/>
    </row>
    <row r="284">
      <c r="A284" s="21">
        <f>IF(B284="","",ROW()-4)</f>
        <v/>
      </c>
      <c r="B284" s="7" t="n"/>
      <c r="C284" s="22">
        <f>IF(B284="","",IFERROR(VLOOKUP(B284,'Guest Directory'!$A$5:$B$304,2,FALSE),""))</f>
        <v/>
      </c>
      <c r="D284" s="7" t="n"/>
    </row>
    <row r="285">
      <c r="A285" s="21">
        <f>IF(B285="","",ROW()-4)</f>
        <v/>
      </c>
      <c r="B285" s="7" t="n"/>
      <c r="C285" s="22">
        <f>IF(B285="","",IFERROR(VLOOKUP(B285,'Guest Directory'!$A$5:$B$304,2,FALSE),""))</f>
        <v/>
      </c>
      <c r="D285" s="7" t="n"/>
    </row>
    <row r="286">
      <c r="A286" s="21">
        <f>IF(B286="","",ROW()-4)</f>
        <v/>
      </c>
      <c r="B286" s="7" t="n"/>
      <c r="C286" s="22">
        <f>IF(B286="","",IFERROR(VLOOKUP(B286,'Guest Directory'!$A$5:$B$304,2,FALSE),""))</f>
        <v/>
      </c>
      <c r="D286" s="7" t="n"/>
    </row>
    <row r="287">
      <c r="A287" s="21">
        <f>IF(B287="","",ROW()-4)</f>
        <v/>
      </c>
      <c r="B287" s="7" t="n"/>
      <c r="C287" s="22">
        <f>IF(B287="","",IFERROR(VLOOKUP(B287,'Guest Directory'!$A$5:$B$304,2,FALSE),""))</f>
        <v/>
      </c>
      <c r="D287" s="7" t="n"/>
    </row>
    <row r="288">
      <c r="A288" s="21">
        <f>IF(B288="","",ROW()-4)</f>
        <v/>
      </c>
      <c r="B288" s="7" t="n"/>
      <c r="C288" s="22">
        <f>IF(B288="","",IFERROR(VLOOKUP(B288,'Guest Directory'!$A$5:$B$304,2,FALSE),""))</f>
        <v/>
      </c>
      <c r="D288" s="7" t="n"/>
    </row>
    <row r="289">
      <c r="A289" s="21">
        <f>IF(B289="","",ROW()-4)</f>
        <v/>
      </c>
      <c r="B289" s="7" t="n"/>
      <c r="C289" s="22">
        <f>IF(B289="","",IFERROR(VLOOKUP(B289,'Guest Directory'!$A$5:$B$304,2,FALSE),""))</f>
        <v/>
      </c>
      <c r="D289" s="7" t="n"/>
    </row>
    <row r="290">
      <c r="A290" s="21">
        <f>IF(B290="","",ROW()-4)</f>
        <v/>
      </c>
      <c r="B290" s="7" t="n"/>
      <c r="C290" s="22">
        <f>IF(B290="","",IFERROR(VLOOKUP(B290,'Guest Directory'!$A$5:$B$304,2,FALSE),""))</f>
        <v/>
      </c>
      <c r="D290" s="7" t="n"/>
    </row>
    <row r="291">
      <c r="A291" s="21">
        <f>IF(B291="","",ROW()-4)</f>
        <v/>
      </c>
      <c r="B291" s="7" t="n"/>
      <c r="C291" s="22">
        <f>IF(B291="","",IFERROR(VLOOKUP(B291,'Guest Directory'!$A$5:$B$304,2,FALSE),""))</f>
        <v/>
      </c>
      <c r="D291" s="7" t="n"/>
    </row>
    <row r="292">
      <c r="A292" s="21">
        <f>IF(B292="","",ROW()-4)</f>
        <v/>
      </c>
      <c r="B292" s="7" t="n"/>
      <c r="C292" s="22">
        <f>IF(B292="","",IFERROR(VLOOKUP(B292,'Guest Directory'!$A$5:$B$304,2,FALSE),""))</f>
        <v/>
      </c>
      <c r="D292" s="7" t="n"/>
    </row>
    <row r="293">
      <c r="A293" s="21">
        <f>IF(B293="","",ROW()-4)</f>
        <v/>
      </c>
      <c r="B293" s="7" t="n"/>
      <c r="C293" s="22">
        <f>IF(B293="","",IFERROR(VLOOKUP(B293,'Guest Directory'!$A$5:$B$304,2,FALSE),""))</f>
        <v/>
      </c>
      <c r="D293" s="7" t="n"/>
    </row>
    <row r="294">
      <c r="A294" s="21">
        <f>IF(B294="","",ROW()-4)</f>
        <v/>
      </c>
      <c r="B294" s="7" t="n"/>
      <c r="C294" s="22">
        <f>IF(B294="","",IFERROR(VLOOKUP(B294,'Guest Directory'!$A$5:$B$304,2,FALSE),""))</f>
        <v/>
      </c>
      <c r="D294" s="7" t="n"/>
    </row>
    <row r="295">
      <c r="A295" s="21">
        <f>IF(B295="","",ROW()-4)</f>
        <v/>
      </c>
      <c r="B295" s="7" t="n"/>
      <c r="C295" s="22">
        <f>IF(B295="","",IFERROR(VLOOKUP(B295,'Guest Directory'!$A$5:$B$304,2,FALSE),""))</f>
        <v/>
      </c>
      <c r="D295" s="7" t="n"/>
    </row>
    <row r="296">
      <c r="A296" s="21">
        <f>IF(B296="","",ROW()-4)</f>
        <v/>
      </c>
      <c r="B296" s="7" t="n"/>
      <c r="C296" s="22">
        <f>IF(B296="","",IFERROR(VLOOKUP(B296,'Guest Directory'!$A$5:$B$304,2,FALSE),""))</f>
        <v/>
      </c>
      <c r="D296" s="7" t="n"/>
    </row>
    <row r="297">
      <c r="A297" s="21">
        <f>IF(B297="","",ROW()-4)</f>
        <v/>
      </c>
      <c r="B297" s="7" t="n"/>
      <c r="C297" s="22">
        <f>IF(B297="","",IFERROR(VLOOKUP(B297,'Guest Directory'!$A$5:$B$304,2,FALSE),""))</f>
        <v/>
      </c>
      <c r="D297" s="7" t="n"/>
    </row>
    <row r="298">
      <c r="A298" s="21">
        <f>IF(B298="","",ROW()-4)</f>
        <v/>
      </c>
      <c r="B298" s="7" t="n"/>
      <c r="C298" s="22">
        <f>IF(B298="","",IFERROR(VLOOKUP(B298,'Guest Directory'!$A$5:$B$304,2,FALSE),""))</f>
        <v/>
      </c>
      <c r="D298" s="7" t="n"/>
    </row>
    <row r="299">
      <c r="A299" s="21">
        <f>IF(B299="","",ROW()-4)</f>
        <v/>
      </c>
      <c r="B299" s="7" t="n"/>
      <c r="C299" s="22">
        <f>IF(B299="","",IFERROR(VLOOKUP(B299,'Guest Directory'!$A$5:$B$304,2,FALSE),""))</f>
        <v/>
      </c>
      <c r="D299" s="7" t="n"/>
    </row>
    <row r="300">
      <c r="A300" s="21">
        <f>IF(B300="","",ROW()-4)</f>
        <v/>
      </c>
      <c r="B300" s="7" t="n"/>
      <c r="C300" s="22">
        <f>IF(B300="","",IFERROR(VLOOKUP(B300,'Guest Directory'!$A$5:$B$304,2,FALSE),""))</f>
        <v/>
      </c>
      <c r="D300" s="7" t="n"/>
    </row>
    <row r="301">
      <c r="A301" s="21">
        <f>IF(B301="","",ROW()-4)</f>
        <v/>
      </c>
      <c r="B301" s="7" t="n"/>
      <c r="C301" s="22">
        <f>IF(B301="","",IFERROR(VLOOKUP(B301,'Guest Directory'!$A$5:$B$304,2,FALSE),""))</f>
        <v/>
      </c>
      <c r="D301" s="7" t="n"/>
    </row>
    <row r="302">
      <c r="A302" s="21">
        <f>IF(B302="","",ROW()-4)</f>
        <v/>
      </c>
      <c r="B302" s="7" t="n"/>
      <c r="C302" s="22">
        <f>IF(B302="","",IFERROR(VLOOKUP(B302,'Guest Directory'!$A$5:$B$304,2,FALSE),""))</f>
        <v/>
      </c>
      <c r="D302" s="7" t="n"/>
    </row>
    <row r="303">
      <c r="A303" s="21">
        <f>IF(B303="","",ROW()-4)</f>
        <v/>
      </c>
      <c r="B303" s="7" t="n"/>
      <c r="C303" s="22">
        <f>IF(B303="","",IFERROR(VLOOKUP(B303,'Guest Directory'!$A$5:$B$304,2,FALSE),""))</f>
        <v/>
      </c>
      <c r="D303" s="7" t="n"/>
    </row>
    <row r="304">
      <c r="A304" s="21">
        <f>IF(B304="","",ROW()-4)</f>
        <v/>
      </c>
      <c r="B304" s="7" t="n"/>
      <c r="C304" s="22">
        <f>IF(B304="","",IFERROR(VLOOKUP(B304,'Guest Directory'!$A$5:$B$304,2,FALSE),""))</f>
        <v/>
      </c>
      <c r="D304" s="7" t="n"/>
    </row>
  </sheetData>
  <conditionalFormatting sqref="C5:C304">
    <cfRule type="cellIs" priority="1" operator="lessThan" dxfId="0">
      <formula>0</formula>
    </cfRule>
  </conditionalFormatting>
  <dataValidations count="2">
    <dataValidation sqref="B5:B304" showDropDown="0" showInputMessage="1" showErrorMessage="0" allowBlank="1" promptTitle="Choose or type a guest" prompt="Choose a shared guest, or type a new name. Add new shared names to Guest Directory." type="list">
      <formula1>=GuestDirectoryNames</formula1>
    </dataValidation>
    <dataValidation sqref="C5:C304" showDropDown="0" showInputMessage="1" showErrorMessage="1" allowBlank="1" errorTitle="Whole numbers only" error="Use a whole number from 0 to 999." promptTitle="Enter a headcount" prompt="Enter a whole number from 0 to 999." type="whole" operator="between">
      <formula1>0</formula1>
      <formula2>999</formula2>
    </dataValidation>
  </dataValidations>
  <pageMargins left="0.75" right="0.75" top="1" bottom="1" header="0.5" footer="0.5"/>
  <pageSetup orientation="landscape" fitToWidth="1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tabColor rgb="0070AD47"/>
    <outlinePr summaryBelow="1" summaryRight="1"/>
    <pageSetUpPr fitToPage="1"/>
  </sheetPr>
  <dimension ref="A1:G304"/>
  <sheetViews>
    <sheetView zoomScale="9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38" customWidth="1" min="2" max="2"/>
    <col width="34" customWidth="1" min="3" max="3"/>
    <col width="32" customWidth="1" min="4" max="4"/>
    <col width="3" customWidth="1" min="5" max="5"/>
    <col width="26" customWidth="1" min="6" max="6"/>
    <col width="15" customWidth="1" min="7" max="7"/>
  </cols>
  <sheetData>
    <row r="1" ht="27" customHeight="1">
      <c r="A1" s="14" t="inlineStr">
        <is>
          <t>Wedding Guest List</t>
        </is>
      </c>
    </row>
    <row r="2">
      <c r="A2" s="15" t="inlineStr">
        <is>
          <t>Pick an existing name from the dropdown or type a new name. The headcount fills from Guest Directory when available and remains editable.</t>
        </is>
      </c>
      <c r="F2" s="18" t="inlineStr">
        <is>
          <t>Guest entries</t>
        </is>
      </c>
      <c r="G2" s="19">
        <f>COUNTIF(B5:B304,"?*")</f>
        <v/>
      </c>
    </row>
    <row r="3">
      <c r="A3" s="16">
        <f>HYPERLINK("#Summary!A1","← Back to Summary")</f>
        <v/>
      </c>
      <c r="F3" s="18" t="inlineStr">
        <is>
          <t>Total guests</t>
        </is>
      </c>
      <c r="G3" s="19">
        <f>SUM(C5:C304)</f>
        <v/>
      </c>
    </row>
    <row r="4" ht="34" customHeight="1">
      <c r="A4" s="6" t="inlineStr">
        <is>
          <t>S.No</t>
        </is>
      </c>
      <c r="B4" s="6" t="inlineStr">
        <is>
          <t>Guest Name</t>
        </is>
      </c>
      <c r="C4" s="6" t="inlineStr">
        <is>
          <t>Family Members / Total People</t>
        </is>
      </c>
      <c r="D4" s="6" t="inlineStr">
        <is>
          <t>Notes</t>
        </is>
      </c>
      <c r="F4" s="20" t="inlineStr">
        <is>
          <t>Count each party exactly as you want it included in the total.</t>
        </is>
      </c>
    </row>
    <row r="5">
      <c r="A5" s="21">
        <f>IF(B5="","",ROW()-4)</f>
        <v/>
      </c>
      <c r="B5" s="7" t="n"/>
      <c r="C5" s="22">
        <f>IF(B5="","",IFERROR(VLOOKUP(B5,'Guest Directory'!$A$5:$B$304,2,FALSE),""))</f>
        <v/>
      </c>
      <c r="D5" s="7" t="n"/>
    </row>
    <row r="6">
      <c r="A6" s="21">
        <f>IF(B6="","",ROW()-4)</f>
        <v/>
      </c>
      <c r="B6" s="7" t="n"/>
      <c r="C6" s="22">
        <f>IF(B6="","",IFERROR(VLOOKUP(B6,'Guest Directory'!$A$5:$B$304,2,FALSE),""))</f>
        <v/>
      </c>
      <c r="D6" s="7" t="n"/>
    </row>
    <row r="7">
      <c r="A7" s="21">
        <f>IF(B7="","",ROW()-4)</f>
        <v/>
      </c>
      <c r="B7" s="7" t="n"/>
      <c r="C7" s="22">
        <f>IF(B7="","",IFERROR(VLOOKUP(B7,'Guest Directory'!$A$5:$B$304,2,FALSE),""))</f>
        <v/>
      </c>
      <c r="D7" s="7" t="n"/>
    </row>
    <row r="8">
      <c r="A8" s="21">
        <f>IF(B8="","",ROW()-4)</f>
        <v/>
      </c>
      <c r="B8" s="7" t="n"/>
      <c r="C8" s="22">
        <f>IF(B8="","",IFERROR(VLOOKUP(B8,'Guest Directory'!$A$5:$B$304,2,FALSE),""))</f>
        <v/>
      </c>
      <c r="D8" s="7" t="n"/>
    </row>
    <row r="9">
      <c r="A9" s="21">
        <f>IF(B9="","",ROW()-4)</f>
        <v/>
      </c>
      <c r="B9" s="7" t="n"/>
      <c r="C9" s="22">
        <f>IF(B9="","",IFERROR(VLOOKUP(B9,'Guest Directory'!$A$5:$B$304,2,FALSE),""))</f>
        <v/>
      </c>
      <c r="D9" s="7" t="n"/>
    </row>
    <row r="10">
      <c r="A10" s="21">
        <f>IF(B10="","",ROW()-4)</f>
        <v/>
      </c>
      <c r="B10" s="7" t="n"/>
      <c r="C10" s="22">
        <f>IF(B10="","",IFERROR(VLOOKUP(B10,'Guest Directory'!$A$5:$B$304,2,FALSE),""))</f>
        <v/>
      </c>
      <c r="D10" s="7" t="n"/>
    </row>
    <row r="11">
      <c r="A11" s="21">
        <f>IF(B11="","",ROW()-4)</f>
        <v/>
      </c>
      <c r="B11" s="7" t="n"/>
      <c r="C11" s="22">
        <f>IF(B11="","",IFERROR(VLOOKUP(B11,'Guest Directory'!$A$5:$B$304,2,FALSE),""))</f>
        <v/>
      </c>
      <c r="D11" s="7" t="n"/>
    </row>
    <row r="12">
      <c r="A12" s="21">
        <f>IF(B12="","",ROW()-4)</f>
        <v/>
      </c>
      <c r="B12" s="7" t="n"/>
      <c r="C12" s="22">
        <f>IF(B12="","",IFERROR(VLOOKUP(B12,'Guest Directory'!$A$5:$B$304,2,FALSE),""))</f>
        <v/>
      </c>
      <c r="D12" s="7" t="n"/>
    </row>
    <row r="13">
      <c r="A13" s="21">
        <f>IF(B13="","",ROW()-4)</f>
        <v/>
      </c>
      <c r="B13" s="7" t="n"/>
      <c r="C13" s="22">
        <f>IF(B13="","",IFERROR(VLOOKUP(B13,'Guest Directory'!$A$5:$B$304,2,FALSE),""))</f>
        <v/>
      </c>
      <c r="D13" s="7" t="n"/>
    </row>
    <row r="14">
      <c r="A14" s="21">
        <f>IF(B14="","",ROW()-4)</f>
        <v/>
      </c>
      <c r="B14" s="7" t="n"/>
      <c r="C14" s="22">
        <f>IF(B14="","",IFERROR(VLOOKUP(B14,'Guest Directory'!$A$5:$B$304,2,FALSE),""))</f>
        <v/>
      </c>
      <c r="D14" s="7" t="n"/>
    </row>
    <row r="15">
      <c r="A15" s="21">
        <f>IF(B15="","",ROW()-4)</f>
        <v/>
      </c>
      <c r="B15" s="7" t="n"/>
      <c r="C15" s="22">
        <f>IF(B15="","",IFERROR(VLOOKUP(B15,'Guest Directory'!$A$5:$B$304,2,FALSE),""))</f>
        <v/>
      </c>
      <c r="D15" s="7" t="n"/>
    </row>
    <row r="16">
      <c r="A16" s="21">
        <f>IF(B16="","",ROW()-4)</f>
        <v/>
      </c>
      <c r="B16" s="7" t="n"/>
      <c r="C16" s="22">
        <f>IF(B16="","",IFERROR(VLOOKUP(B16,'Guest Directory'!$A$5:$B$304,2,FALSE),""))</f>
        <v/>
      </c>
      <c r="D16" s="7" t="n"/>
    </row>
    <row r="17">
      <c r="A17" s="21">
        <f>IF(B17="","",ROW()-4)</f>
        <v/>
      </c>
      <c r="B17" s="7" t="n"/>
      <c r="C17" s="22">
        <f>IF(B17="","",IFERROR(VLOOKUP(B17,'Guest Directory'!$A$5:$B$304,2,FALSE),""))</f>
        <v/>
      </c>
      <c r="D17" s="7" t="n"/>
    </row>
    <row r="18">
      <c r="A18" s="21">
        <f>IF(B18="","",ROW()-4)</f>
        <v/>
      </c>
      <c r="B18" s="7" t="n"/>
      <c r="C18" s="22">
        <f>IF(B18="","",IFERROR(VLOOKUP(B18,'Guest Directory'!$A$5:$B$304,2,FALSE),""))</f>
        <v/>
      </c>
      <c r="D18" s="7" t="n"/>
    </row>
    <row r="19">
      <c r="A19" s="21">
        <f>IF(B19="","",ROW()-4)</f>
        <v/>
      </c>
      <c r="B19" s="7" t="n"/>
      <c r="C19" s="22">
        <f>IF(B19="","",IFERROR(VLOOKUP(B19,'Guest Directory'!$A$5:$B$304,2,FALSE),""))</f>
        <v/>
      </c>
      <c r="D19" s="7" t="n"/>
    </row>
    <row r="20">
      <c r="A20" s="21">
        <f>IF(B20="","",ROW()-4)</f>
        <v/>
      </c>
      <c r="B20" s="7" t="n"/>
      <c r="C20" s="22">
        <f>IF(B20="","",IFERROR(VLOOKUP(B20,'Guest Directory'!$A$5:$B$304,2,FALSE),""))</f>
        <v/>
      </c>
      <c r="D20" s="7" t="n"/>
    </row>
    <row r="21">
      <c r="A21" s="21">
        <f>IF(B21="","",ROW()-4)</f>
        <v/>
      </c>
      <c r="B21" s="7" t="n"/>
      <c r="C21" s="22">
        <f>IF(B21="","",IFERROR(VLOOKUP(B21,'Guest Directory'!$A$5:$B$304,2,FALSE),""))</f>
        <v/>
      </c>
      <c r="D21" s="7" t="n"/>
    </row>
    <row r="22">
      <c r="A22" s="21">
        <f>IF(B22="","",ROW()-4)</f>
        <v/>
      </c>
      <c r="B22" s="7" t="n"/>
      <c r="C22" s="22">
        <f>IF(B22="","",IFERROR(VLOOKUP(B22,'Guest Directory'!$A$5:$B$304,2,FALSE),""))</f>
        <v/>
      </c>
      <c r="D22" s="7" t="n"/>
    </row>
    <row r="23">
      <c r="A23" s="21">
        <f>IF(B23="","",ROW()-4)</f>
        <v/>
      </c>
      <c r="B23" s="7" t="n"/>
      <c r="C23" s="22">
        <f>IF(B23="","",IFERROR(VLOOKUP(B23,'Guest Directory'!$A$5:$B$304,2,FALSE),""))</f>
        <v/>
      </c>
      <c r="D23" s="7" t="n"/>
    </row>
    <row r="24">
      <c r="A24" s="21">
        <f>IF(B24="","",ROW()-4)</f>
        <v/>
      </c>
      <c r="B24" s="7" t="n"/>
      <c r="C24" s="22">
        <f>IF(B24="","",IFERROR(VLOOKUP(B24,'Guest Directory'!$A$5:$B$304,2,FALSE),""))</f>
        <v/>
      </c>
      <c r="D24" s="7" t="n"/>
    </row>
    <row r="25">
      <c r="A25" s="21">
        <f>IF(B25="","",ROW()-4)</f>
        <v/>
      </c>
      <c r="B25" s="7" t="n"/>
      <c r="C25" s="22">
        <f>IF(B25="","",IFERROR(VLOOKUP(B25,'Guest Directory'!$A$5:$B$304,2,FALSE),""))</f>
        <v/>
      </c>
      <c r="D25" s="7" t="n"/>
    </row>
    <row r="26">
      <c r="A26" s="21">
        <f>IF(B26="","",ROW()-4)</f>
        <v/>
      </c>
      <c r="B26" s="7" t="n"/>
      <c r="C26" s="22">
        <f>IF(B26="","",IFERROR(VLOOKUP(B26,'Guest Directory'!$A$5:$B$304,2,FALSE),""))</f>
        <v/>
      </c>
      <c r="D26" s="7" t="n"/>
    </row>
    <row r="27">
      <c r="A27" s="21">
        <f>IF(B27="","",ROW()-4)</f>
        <v/>
      </c>
      <c r="B27" s="7" t="n"/>
      <c r="C27" s="22">
        <f>IF(B27="","",IFERROR(VLOOKUP(B27,'Guest Directory'!$A$5:$B$304,2,FALSE),""))</f>
        <v/>
      </c>
      <c r="D27" s="7" t="n"/>
    </row>
    <row r="28">
      <c r="A28" s="21">
        <f>IF(B28="","",ROW()-4)</f>
        <v/>
      </c>
      <c r="B28" s="7" t="n"/>
      <c r="C28" s="22">
        <f>IF(B28="","",IFERROR(VLOOKUP(B28,'Guest Directory'!$A$5:$B$304,2,FALSE),""))</f>
        <v/>
      </c>
      <c r="D28" s="7" t="n"/>
    </row>
    <row r="29">
      <c r="A29" s="21">
        <f>IF(B29="","",ROW()-4)</f>
        <v/>
      </c>
      <c r="B29" s="7" t="n"/>
      <c r="C29" s="22">
        <f>IF(B29="","",IFERROR(VLOOKUP(B29,'Guest Directory'!$A$5:$B$304,2,FALSE),""))</f>
        <v/>
      </c>
      <c r="D29" s="7" t="n"/>
    </row>
    <row r="30">
      <c r="A30" s="21">
        <f>IF(B30="","",ROW()-4)</f>
        <v/>
      </c>
      <c r="B30" s="7" t="n"/>
      <c r="C30" s="22">
        <f>IF(B30="","",IFERROR(VLOOKUP(B30,'Guest Directory'!$A$5:$B$304,2,FALSE),""))</f>
        <v/>
      </c>
      <c r="D30" s="7" t="n"/>
    </row>
    <row r="31">
      <c r="A31" s="21">
        <f>IF(B31="","",ROW()-4)</f>
        <v/>
      </c>
      <c r="B31" s="7" t="n"/>
      <c r="C31" s="22">
        <f>IF(B31="","",IFERROR(VLOOKUP(B31,'Guest Directory'!$A$5:$B$304,2,FALSE),""))</f>
        <v/>
      </c>
      <c r="D31" s="7" t="n"/>
    </row>
    <row r="32">
      <c r="A32" s="21">
        <f>IF(B32="","",ROW()-4)</f>
        <v/>
      </c>
      <c r="B32" s="7" t="n"/>
      <c r="C32" s="22">
        <f>IF(B32="","",IFERROR(VLOOKUP(B32,'Guest Directory'!$A$5:$B$304,2,FALSE),""))</f>
        <v/>
      </c>
      <c r="D32" s="7" t="n"/>
    </row>
    <row r="33">
      <c r="A33" s="21">
        <f>IF(B33="","",ROW()-4)</f>
        <v/>
      </c>
      <c r="B33" s="7" t="n"/>
      <c r="C33" s="22">
        <f>IF(B33="","",IFERROR(VLOOKUP(B33,'Guest Directory'!$A$5:$B$304,2,FALSE),""))</f>
        <v/>
      </c>
      <c r="D33" s="7" t="n"/>
    </row>
    <row r="34">
      <c r="A34" s="21">
        <f>IF(B34="","",ROW()-4)</f>
        <v/>
      </c>
      <c r="B34" s="7" t="n"/>
      <c r="C34" s="22">
        <f>IF(B34="","",IFERROR(VLOOKUP(B34,'Guest Directory'!$A$5:$B$304,2,FALSE),""))</f>
        <v/>
      </c>
      <c r="D34" s="7" t="n"/>
    </row>
    <row r="35">
      <c r="A35" s="21">
        <f>IF(B35="","",ROW()-4)</f>
        <v/>
      </c>
      <c r="B35" s="7" t="n"/>
      <c r="C35" s="22">
        <f>IF(B35="","",IFERROR(VLOOKUP(B35,'Guest Directory'!$A$5:$B$304,2,FALSE),""))</f>
        <v/>
      </c>
      <c r="D35" s="7" t="n"/>
    </row>
    <row r="36">
      <c r="A36" s="21">
        <f>IF(B36="","",ROW()-4)</f>
        <v/>
      </c>
      <c r="B36" s="7" t="n"/>
      <c r="C36" s="22">
        <f>IF(B36="","",IFERROR(VLOOKUP(B36,'Guest Directory'!$A$5:$B$304,2,FALSE),""))</f>
        <v/>
      </c>
      <c r="D36" s="7" t="n"/>
    </row>
    <row r="37">
      <c r="A37" s="21">
        <f>IF(B37="","",ROW()-4)</f>
        <v/>
      </c>
      <c r="B37" s="7" t="n"/>
      <c r="C37" s="22">
        <f>IF(B37="","",IFERROR(VLOOKUP(B37,'Guest Directory'!$A$5:$B$304,2,FALSE),""))</f>
        <v/>
      </c>
      <c r="D37" s="7" t="n"/>
    </row>
    <row r="38">
      <c r="A38" s="21">
        <f>IF(B38="","",ROW()-4)</f>
        <v/>
      </c>
      <c r="B38" s="7" t="n"/>
      <c r="C38" s="22">
        <f>IF(B38="","",IFERROR(VLOOKUP(B38,'Guest Directory'!$A$5:$B$304,2,FALSE),""))</f>
        <v/>
      </c>
      <c r="D38" s="7" t="n"/>
    </row>
    <row r="39">
      <c r="A39" s="21">
        <f>IF(B39="","",ROW()-4)</f>
        <v/>
      </c>
      <c r="B39" s="7" t="n"/>
      <c r="C39" s="22">
        <f>IF(B39="","",IFERROR(VLOOKUP(B39,'Guest Directory'!$A$5:$B$304,2,FALSE),""))</f>
        <v/>
      </c>
      <c r="D39" s="7" t="n"/>
    </row>
    <row r="40">
      <c r="A40" s="21">
        <f>IF(B40="","",ROW()-4)</f>
        <v/>
      </c>
      <c r="B40" s="7" t="n"/>
      <c r="C40" s="22">
        <f>IF(B40="","",IFERROR(VLOOKUP(B40,'Guest Directory'!$A$5:$B$304,2,FALSE),""))</f>
        <v/>
      </c>
      <c r="D40" s="7" t="n"/>
    </row>
    <row r="41">
      <c r="A41" s="21">
        <f>IF(B41="","",ROW()-4)</f>
        <v/>
      </c>
      <c r="B41" s="7" t="n"/>
      <c r="C41" s="22">
        <f>IF(B41="","",IFERROR(VLOOKUP(B41,'Guest Directory'!$A$5:$B$304,2,FALSE),""))</f>
        <v/>
      </c>
      <c r="D41" s="7" t="n"/>
    </row>
    <row r="42">
      <c r="A42" s="21">
        <f>IF(B42="","",ROW()-4)</f>
        <v/>
      </c>
      <c r="B42" s="7" t="n"/>
      <c r="C42" s="22">
        <f>IF(B42="","",IFERROR(VLOOKUP(B42,'Guest Directory'!$A$5:$B$304,2,FALSE),""))</f>
        <v/>
      </c>
      <c r="D42" s="7" t="n"/>
    </row>
    <row r="43">
      <c r="A43" s="21">
        <f>IF(B43="","",ROW()-4)</f>
        <v/>
      </c>
      <c r="B43" s="7" t="n"/>
      <c r="C43" s="22">
        <f>IF(B43="","",IFERROR(VLOOKUP(B43,'Guest Directory'!$A$5:$B$304,2,FALSE),""))</f>
        <v/>
      </c>
      <c r="D43" s="7" t="n"/>
    </row>
    <row r="44">
      <c r="A44" s="21">
        <f>IF(B44="","",ROW()-4)</f>
        <v/>
      </c>
      <c r="B44" s="7" t="n"/>
      <c r="C44" s="22">
        <f>IF(B44="","",IFERROR(VLOOKUP(B44,'Guest Directory'!$A$5:$B$304,2,FALSE),""))</f>
        <v/>
      </c>
      <c r="D44" s="7" t="n"/>
    </row>
    <row r="45">
      <c r="A45" s="21">
        <f>IF(B45="","",ROW()-4)</f>
        <v/>
      </c>
      <c r="B45" s="7" t="n"/>
      <c r="C45" s="22">
        <f>IF(B45="","",IFERROR(VLOOKUP(B45,'Guest Directory'!$A$5:$B$304,2,FALSE),""))</f>
        <v/>
      </c>
      <c r="D45" s="7" t="n"/>
    </row>
    <row r="46">
      <c r="A46" s="21">
        <f>IF(B46="","",ROW()-4)</f>
        <v/>
      </c>
      <c r="B46" s="7" t="n"/>
      <c r="C46" s="22">
        <f>IF(B46="","",IFERROR(VLOOKUP(B46,'Guest Directory'!$A$5:$B$304,2,FALSE),""))</f>
        <v/>
      </c>
      <c r="D46" s="7" t="n"/>
    </row>
    <row r="47">
      <c r="A47" s="21">
        <f>IF(B47="","",ROW()-4)</f>
        <v/>
      </c>
      <c r="B47" s="7" t="n"/>
      <c r="C47" s="22">
        <f>IF(B47="","",IFERROR(VLOOKUP(B47,'Guest Directory'!$A$5:$B$304,2,FALSE),""))</f>
        <v/>
      </c>
      <c r="D47" s="7" t="n"/>
    </row>
    <row r="48">
      <c r="A48" s="21">
        <f>IF(B48="","",ROW()-4)</f>
        <v/>
      </c>
      <c r="B48" s="7" t="n"/>
      <c r="C48" s="22">
        <f>IF(B48="","",IFERROR(VLOOKUP(B48,'Guest Directory'!$A$5:$B$304,2,FALSE),""))</f>
        <v/>
      </c>
      <c r="D48" s="7" t="n"/>
    </row>
    <row r="49">
      <c r="A49" s="21">
        <f>IF(B49="","",ROW()-4)</f>
        <v/>
      </c>
      <c r="B49" s="7" t="n"/>
      <c r="C49" s="22">
        <f>IF(B49="","",IFERROR(VLOOKUP(B49,'Guest Directory'!$A$5:$B$304,2,FALSE),""))</f>
        <v/>
      </c>
      <c r="D49" s="7" t="n"/>
    </row>
    <row r="50">
      <c r="A50" s="21">
        <f>IF(B50="","",ROW()-4)</f>
        <v/>
      </c>
      <c r="B50" s="7" t="n"/>
      <c r="C50" s="22">
        <f>IF(B50="","",IFERROR(VLOOKUP(B50,'Guest Directory'!$A$5:$B$304,2,FALSE),""))</f>
        <v/>
      </c>
      <c r="D50" s="7" t="n"/>
    </row>
    <row r="51">
      <c r="A51" s="21">
        <f>IF(B51="","",ROW()-4)</f>
        <v/>
      </c>
      <c r="B51" s="7" t="n"/>
      <c r="C51" s="22">
        <f>IF(B51="","",IFERROR(VLOOKUP(B51,'Guest Directory'!$A$5:$B$304,2,FALSE),""))</f>
        <v/>
      </c>
      <c r="D51" s="7" t="n"/>
    </row>
    <row r="52">
      <c r="A52" s="21">
        <f>IF(B52="","",ROW()-4)</f>
        <v/>
      </c>
      <c r="B52" s="7" t="n"/>
      <c r="C52" s="22">
        <f>IF(B52="","",IFERROR(VLOOKUP(B52,'Guest Directory'!$A$5:$B$304,2,FALSE),""))</f>
        <v/>
      </c>
      <c r="D52" s="7" t="n"/>
    </row>
    <row r="53">
      <c r="A53" s="21">
        <f>IF(B53="","",ROW()-4)</f>
        <v/>
      </c>
      <c r="B53" s="7" t="n"/>
      <c r="C53" s="22">
        <f>IF(B53="","",IFERROR(VLOOKUP(B53,'Guest Directory'!$A$5:$B$304,2,FALSE),""))</f>
        <v/>
      </c>
      <c r="D53" s="7" t="n"/>
    </row>
    <row r="54">
      <c r="A54" s="21">
        <f>IF(B54="","",ROW()-4)</f>
        <v/>
      </c>
      <c r="B54" s="7" t="n"/>
      <c r="C54" s="22">
        <f>IF(B54="","",IFERROR(VLOOKUP(B54,'Guest Directory'!$A$5:$B$304,2,FALSE),""))</f>
        <v/>
      </c>
      <c r="D54" s="7" t="n"/>
    </row>
    <row r="55">
      <c r="A55" s="21">
        <f>IF(B55="","",ROW()-4)</f>
        <v/>
      </c>
      <c r="B55" s="7" t="n"/>
      <c r="C55" s="22">
        <f>IF(B55="","",IFERROR(VLOOKUP(B55,'Guest Directory'!$A$5:$B$304,2,FALSE),""))</f>
        <v/>
      </c>
      <c r="D55" s="7" t="n"/>
    </row>
    <row r="56">
      <c r="A56" s="21">
        <f>IF(B56="","",ROW()-4)</f>
        <v/>
      </c>
      <c r="B56" s="7" t="n"/>
      <c r="C56" s="22">
        <f>IF(B56="","",IFERROR(VLOOKUP(B56,'Guest Directory'!$A$5:$B$304,2,FALSE),""))</f>
        <v/>
      </c>
      <c r="D56" s="7" t="n"/>
    </row>
    <row r="57">
      <c r="A57" s="21">
        <f>IF(B57="","",ROW()-4)</f>
        <v/>
      </c>
      <c r="B57" s="7" t="n"/>
      <c r="C57" s="22">
        <f>IF(B57="","",IFERROR(VLOOKUP(B57,'Guest Directory'!$A$5:$B$304,2,FALSE),""))</f>
        <v/>
      </c>
      <c r="D57" s="7" t="n"/>
    </row>
    <row r="58">
      <c r="A58" s="21">
        <f>IF(B58="","",ROW()-4)</f>
        <v/>
      </c>
      <c r="B58" s="7" t="n"/>
      <c r="C58" s="22">
        <f>IF(B58="","",IFERROR(VLOOKUP(B58,'Guest Directory'!$A$5:$B$304,2,FALSE),""))</f>
        <v/>
      </c>
      <c r="D58" s="7" t="n"/>
    </row>
    <row r="59">
      <c r="A59" s="21">
        <f>IF(B59="","",ROW()-4)</f>
        <v/>
      </c>
      <c r="B59" s="7" t="n"/>
      <c r="C59" s="22">
        <f>IF(B59="","",IFERROR(VLOOKUP(B59,'Guest Directory'!$A$5:$B$304,2,FALSE),""))</f>
        <v/>
      </c>
      <c r="D59" s="7" t="n"/>
    </row>
    <row r="60">
      <c r="A60" s="21">
        <f>IF(B60="","",ROW()-4)</f>
        <v/>
      </c>
      <c r="B60" s="7" t="n"/>
      <c r="C60" s="22">
        <f>IF(B60="","",IFERROR(VLOOKUP(B60,'Guest Directory'!$A$5:$B$304,2,FALSE),""))</f>
        <v/>
      </c>
      <c r="D60" s="7" t="n"/>
    </row>
    <row r="61">
      <c r="A61" s="21">
        <f>IF(B61="","",ROW()-4)</f>
        <v/>
      </c>
      <c r="B61" s="7" t="n"/>
      <c r="C61" s="22">
        <f>IF(B61="","",IFERROR(VLOOKUP(B61,'Guest Directory'!$A$5:$B$304,2,FALSE),""))</f>
        <v/>
      </c>
      <c r="D61" s="7" t="n"/>
    </row>
    <row r="62">
      <c r="A62" s="21">
        <f>IF(B62="","",ROW()-4)</f>
        <v/>
      </c>
      <c r="B62" s="7" t="n"/>
      <c r="C62" s="22">
        <f>IF(B62="","",IFERROR(VLOOKUP(B62,'Guest Directory'!$A$5:$B$304,2,FALSE),""))</f>
        <v/>
      </c>
      <c r="D62" s="7" t="n"/>
    </row>
    <row r="63">
      <c r="A63" s="21">
        <f>IF(B63="","",ROW()-4)</f>
        <v/>
      </c>
      <c r="B63" s="7" t="n"/>
      <c r="C63" s="22">
        <f>IF(B63="","",IFERROR(VLOOKUP(B63,'Guest Directory'!$A$5:$B$304,2,FALSE),""))</f>
        <v/>
      </c>
      <c r="D63" s="7" t="n"/>
    </row>
    <row r="64">
      <c r="A64" s="21">
        <f>IF(B64="","",ROW()-4)</f>
        <v/>
      </c>
      <c r="B64" s="7" t="n"/>
      <c r="C64" s="22">
        <f>IF(B64="","",IFERROR(VLOOKUP(B64,'Guest Directory'!$A$5:$B$304,2,FALSE),""))</f>
        <v/>
      </c>
      <c r="D64" s="7" t="n"/>
    </row>
    <row r="65">
      <c r="A65" s="21">
        <f>IF(B65="","",ROW()-4)</f>
        <v/>
      </c>
      <c r="B65" s="7" t="n"/>
      <c r="C65" s="22">
        <f>IF(B65="","",IFERROR(VLOOKUP(B65,'Guest Directory'!$A$5:$B$304,2,FALSE),""))</f>
        <v/>
      </c>
      <c r="D65" s="7" t="n"/>
    </row>
    <row r="66">
      <c r="A66" s="21">
        <f>IF(B66="","",ROW()-4)</f>
        <v/>
      </c>
      <c r="B66" s="7" t="n"/>
      <c r="C66" s="22">
        <f>IF(B66="","",IFERROR(VLOOKUP(B66,'Guest Directory'!$A$5:$B$304,2,FALSE),""))</f>
        <v/>
      </c>
      <c r="D66" s="7" t="n"/>
    </row>
    <row r="67">
      <c r="A67" s="21">
        <f>IF(B67="","",ROW()-4)</f>
        <v/>
      </c>
      <c r="B67" s="7" t="n"/>
      <c r="C67" s="22">
        <f>IF(B67="","",IFERROR(VLOOKUP(B67,'Guest Directory'!$A$5:$B$304,2,FALSE),""))</f>
        <v/>
      </c>
      <c r="D67" s="7" t="n"/>
    </row>
    <row r="68">
      <c r="A68" s="21">
        <f>IF(B68="","",ROW()-4)</f>
        <v/>
      </c>
      <c r="B68" s="7" t="n"/>
      <c r="C68" s="22">
        <f>IF(B68="","",IFERROR(VLOOKUP(B68,'Guest Directory'!$A$5:$B$304,2,FALSE),""))</f>
        <v/>
      </c>
      <c r="D68" s="7" t="n"/>
    </row>
    <row r="69">
      <c r="A69" s="21">
        <f>IF(B69="","",ROW()-4)</f>
        <v/>
      </c>
      <c r="B69" s="7" t="n"/>
      <c r="C69" s="22">
        <f>IF(B69="","",IFERROR(VLOOKUP(B69,'Guest Directory'!$A$5:$B$304,2,FALSE),""))</f>
        <v/>
      </c>
      <c r="D69" s="7" t="n"/>
    </row>
    <row r="70">
      <c r="A70" s="21">
        <f>IF(B70="","",ROW()-4)</f>
        <v/>
      </c>
      <c r="B70" s="7" t="n"/>
      <c r="C70" s="22">
        <f>IF(B70="","",IFERROR(VLOOKUP(B70,'Guest Directory'!$A$5:$B$304,2,FALSE),""))</f>
        <v/>
      </c>
      <c r="D70" s="7" t="n"/>
    </row>
    <row r="71">
      <c r="A71" s="21">
        <f>IF(B71="","",ROW()-4)</f>
        <v/>
      </c>
      <c r="B71" s="7" t="n"/>
      <c r="C71" s="22">
        <f>IF(B71="","",IFERROR(VLOOKUP(B71,'Guest Directory'!$A$5:$B$304,2,FALSE),""))</f>
        <v/>
      </c>
      <c r="D71" s="7" t="n"/>
    </row>
    <row r="72">
      <c r="A72" s="21">
        <f>IF(B72="","",ROW()-4)</f>
        <v/>
      </c>
      <c r="B72" s="7" t="n"/>
      <c r="C72" s="22">
        <f>IF(B72="","",IFERROR(VLOOKUP(B72,'Guest Directory'!$A$5:$B$304,2,FALSE),""))</f>
        <v/>
      </c>
      <c r="D72" s="7" t="n"/>
    </row>
    <row r="73">
      <c r="A73" s="21">
        <f>IF(B73="","",ROW()-4)</f>
        <v/>
      </c>
      <c r="B73" s="7" t="n"/>
      <c r="C73" s="22">
        <f>IF(B73="","",IFERROR(VLOOKUP(B73,'Guest Directory'!$A$5:$B$304,2,FALSE),""))</f>
        <v/>
      </c>
      <c r="D73" s="7" t="n"/>
    </row>
    <row r="74">
      <c r="A74" s="21">
        <f>IF(B74="","",ROW()-4)</f>
        <v/>
      </c>
      <c r="B74" s="7" t="n"/>
      <c r="C74" s="22">
        <f>IF(B74="","",IFERROR(VLOOKUP(B74,'Guest Directory'!$A$5:$B$304,2,FALSE),""))</f>
        <v/>
      </c>
      <c r="D74" s="7" t="n"/>
    </row>
    <row r="75">
      <c r="A75" s="21">
        <f>IF(B75="","",ROW()-4)</f>
        <v/>
      </c>
      <c r="B75" s="7" t="n"/>
      <c r="C75" s="22">
        <f>IF(B75="","",IFERROR(VLOOKUP(B75,'Guest Directory'!$A$5:$B$304,2,FALSE),""))</f>
        <v/>
      </c>
      <c r="D75" s="7" t="n"/>
    </row>
    <row r="76">
      <c r="A76" s="21">
        <f>IF(B76="","",ROW()-4)</f>
        <v/>
      </c>
      <c r="B76" s="7" t="n"/>
      <c r="C76" s="22">
        <f>IF(B76="","",IFERROR(VLOOKUP(B76,'Guest Directory'!$A$5:$B$304,2,FALSE),""))</f>
        <v/>
      </c>
      <c r="D76" s="7" t="n"/>
    </row>
    <row r="77">
      <c r="A77" s="21">
        <f>IF(B77="","",ROW()-4)</f>
        <v/>
      </c>
      <c r="B77" s="7" t="n"/>
      <c r="C77" s="22">
        <f>IF(B77="","",IFERROR(VLOOKUP(B77,'Guest Directory'!$A$5:$B$304,2,FALSE),""))</f>
        <v/>
      </c>
      <c r="D77" s="7" t="n"/>
    </row>
    <row r="78">
      <c r="A78" s="21">
        <f>IF(B78="","",ROW()-4)</f>
        <v/>
      </c>
      <c r="B78" s="7" t="n"/>
      <c r="C78" s="22">
        <f>IF(B78="","",IFERROR(VLOOKUP(B78,'Guest Directory'!$A$5:$B$304,2,FALSE),""))</f>
        <v/>
      </c>
      <c r="D78" s="7" t="n"/>
    </row>
    <row r="79">
      <c r="A79" s="21">
        <f>IF(B79="","",ROW()-4)</f>
        <v/>
      </c>
      <c r="B79" s="7" t="n"/>
      <c r="C79" s="22">
        <f>IF(B79="","",IFERROR(VLOOKUP(B79,'Guest Directory'!$A$5:$B$304,2,FALSE),""))</f>
        <v/>
      </c>
      <c r="D79" s="7" t="n"/>
    </row>
    <row r="80">
      <c r="A80" s="21">
        <f>IF(B80="","",ROW()-4)</f>
        <v/>
      </c>
      <c r="B80" s="7" t="n"/>
      <c r="C80" s="22">
        <f>IF(B80="","",IFERROR(VLOOKUP(B80,'Guest Directory'!$A$5:$B$304,2,FALSE),""))</f>
        <v/>
      </c>
      <c r="D80" s="7" t="n"/>
    </row>
    <row r="81">
      <c r="A81" s="21">
        <f>IF(B81="","",ROW()-4)</f>
        <v/>
      </c>
      <c r="B81" s="7" t="n"/>
      <c r="C81" s="22">
        <f>IF(B81="","",IFERROR(VLOOKUP(B81,'Guest Directory'!$A$5:$B$304,2,FALSE),""))</f>
        <v/>
      </c>
      <c r="D81" s="7" t="n"/>
    </row>
    <row r="82">
      <c r="A82" s="21">
        <f>IF(B82="","",ROW()-4)</f>
        <v/>
      </c>
      <c r="B82" s="7" t="n"/>
      <c r="C82" s="22">
        <f>IF(B82="","",IFERROR(VLOOKUP(B82,'Guest Directory'!$A$5:$B$304,2,FALSE),""))</f>
        <v/>
      </c>
      <c r="D82" s="7" t="n"/>
    </row>
    <row r="83">
      <c r="A83" s="21">
        <f>IF(B83="","",ROW()-4)</f>
        <v/>
      </c>
      <c r="B83" s="7" t="n"/>
      <c r="C83" s="22">
        <f>IF(B83="","",IFERROR(VLOOKUP(B83,'Guest Directory'!$A$5:$B$304,2,FALSE),""))</f>
        <v/>
      </c>
      <c r="D83" s="7" t="n"/>
    </row>
    <row r="84">
      <c r="A84" s="21">
        <f>IF(B84="","",ROW()-4)</f>
        <v/>
      </c>
      <c r="B84" s="7" t="n"/>
      <c r="C84" s="22">
        <f>IF(B84="","",IFERROR(VLOOKUP(B84,'Guest Directory'!$A$5:$B$304,2,FALSE),""))</f>
        <v/>
      </c>
      <c r="D84" s="7" t="n"/>
    </row>
    <row r="85">
      <c r="A85" s="21">
        <f>IF(B85="","",ROW()-4)</f>
        <v/>
      </c>
      <c r="B85" s="7" t="n"/>
      <c r="C85" s="22">
        <f>IF(B85="","",IFERROR(VLOOKUP(B85,'Guest Directory'!$A$5:$B$304,2,FALSE),""))</f>
        <v/>
      </c>
      <c r="D85" s="7" t="n"/>
    </row>
    <row r="86">
      <c r="A86" s="21">
        <f>IF(B86="","",ROW()-4)</f>
        <v/>
      </c>
      <c r="B86" s="7" t="n"/>
      <c r="C86" s="22">
        <f>IF(B86="","",IFERROR(VLOOKUP(B86,'Guest Directory'!$A$5:$B$304,2,FALSE),""))</f>
        <v/>
      </c>
      <c r="D86" s="7" t="n"/>
    </row>
    <row r="87">
      <c r="A87" s="21">
        <f>IF(B87="","",ROW()-4)</f>
        <v/>
      </c>
      <c r="B87" s="7" t="n"/>
      <c r="C87" s="22">
        <f>IF(B87="","",IFERROR(VLOOKUP(B87,'Guest Directory'!$A$5:$B$304,2,FALSE),""))</f>
        <v/>
      </c>
      <c r="D87" s="7" t="n"/>
    </row>
    <row r="88">
      <c r="A88" s="21">
        <f>IF(B88="","",ROW()-4)</f>
        <v/>
      </c>
      <c r="B88" s="7" t="n"/>
      <c r="C88" s="22">
        <f>IF(B88="","",IFERROR(VLOOKUP(B88,'Guest Directory'!$A$5:$B$304,2,FALSE),""))</f>
        <v/>
      </c>
      <c r="D88" s="7" t="n"/>
    </row>
    <row r="89">
      <c r="A89" s="21">
        <f>IF(B89="","",ROW()-4)</f>
        <v/>
      </c>
      <c r="B89" s="7" t="n"/>
      <c r="C89" s="22">
        <f>IF(B89="","",IFERROR(VLOOKUP(B89,'Guest Directory'!$A$5:$B$304,2,FALSE),""))</f>
        <v/>
      </c>
      <c r="D89" s="7" t="n"/>
    </row>
    <row r="90">
      <c r="A90" s="21">
        <f>IF(B90="","",ROW()-4)</f>
        <v/>
      </c>
      <c r="B90" s="7" t="n"/>
      <c r="C90" s="22">
        <f>IF(B90="","",IFERROR(VLOOKUP(B90,'Guest Directory'!$A$5:$B$304,2,FALSE),""))</f>
        <v/>
      </c>
      <c r="D90" s="7" t="n"/>
    </row>
    <row r="91">
      <c r="A91" s="21">
        <f>IF(B91="","",ROW()-4)</f>
        <v/>
      </c>
      <c r="B91" s="7" t="n"/>
      <c r="C91" s="22">
        <f>IF(B91="","",IFERROR(VLOOKUP(B91,'Guest Directory'!$A$5:$B$304,2,FALSE),""))</f>
        <v/>
      </c>
      <c r="D91" s="7" t="n"/>
    </row>
    <row r="92">
      <c r="A92" s="21">
        <f>IF(B92="","",ROW()-4)</f>
        <v/>
      </c>
      <c r="B92" s="7" t="n"/>
      <c r="C92" s="22">
        <f>IF(B92="","",IFERROR(VLOOKUP(B92,'Guest Directory'!$A$5:$B$304,2,FALSE),""))</f>
        <v/>
      </c>
      <c r="D92" s="7" t="n"/>
    </row>
    <row r="93">
      <c r="A93" s="21">
        <f>IF(B93="","",ROW()-4)</f>
        <v/>
      </c>
      <c r="B93" s="7" t="n"/>
      <c r="C93" s="22">
        <f>IF(B93="","",IFERROR(VLOOKUP(B93,'Guest Directory'!$A$5:$B$304,2,FALSE),""))</f>
        <v/>
      </c>
      <c r="D93" s="7" t="n"/>
    </row>
    <row r="94">
      <c r="A94" s="21">
        <f>IF(B94="","",ROW()-4)</f>
        <v/>
      </c>
      <c r="B94" s="7" t="n"/>
      <c r="C94" s="22">
        <f>IF(B94="","",IFERROR(VLOOKUP(B94,'Guest Directory'!$A$5:$B$304,2,FALSE),""))</f>
        <v/>
      </c>
      <c r="D94" s="7" t="n"/>
    </row>
    <row r="95">
      <c r="A95" s="21">
        <f>IF(B95="","",ROW()-4)</f>
        <v/>
      </c>
      <c r="B95" s="7" t="n"/>
      <c r="C95" s="22">
        <f>IF(B95="","",IFERROR(VLOOKUP(B95,'Guest Directory'!$A$5:$B$304,2,FALSE),""))</f>
        <v/>
      </c>
      <c r="D95" s="7" t="n"/>
    </row>
    <row r="96">
      <c r="A96" s="21">
        <f>IF(B96="","",ROW()-4)</f>
        <v/>
      </c>
      <c r="B96" s="7" t="n"/>
      <c r="C96" s="22">
        <f>IF(B96="","",IFERROR(VLOOKUP(B96,'Guest Directory'!$A$5:$B$304,2,FALSE),""))</f>
        <v/>
      </c>
      <c r="D96" s="7" t="n"/>
    </row>
    <row r="97">
      <c r="A97" s="21">
        <f>IF(B97="","",ROW()-4)</f>
        <v/>
      </c>
      <c r="B97" s="7" t="n"/>
      <c r="C97" s="22">
        <f>IF(B97="","",IFERROR(VLOOKUP(B97,'Guest Directory'!$A$5:$B$304,2,FALSE),""))</f>
        <v/>
      </c>
      <c r="D97" s="7" t="n"/>
    </row>
    <row r="98">
      <c r="A98" s="21">
        <f>IF(B98="","",ROW()-4)</f>
        <v/>
      </c>
      <c r="B98" s="7" t="n"/>
      <c r="C98" s="22">
        <f>IF(B98="","",IFERROR(VLOOKUP(B98,'Guest Directory'!$A$5:$B$304,2,FALSE),""))</f>
        <v/>
      </c>
      <c r="D98" s="7" t="n"/>
    </row>
    <row r="99">
      <c r="A99" s="21">
        <f>IF(B99="","",ROW()-4)</f>
        <v/>
      </c>
      <c r="B99" s="7" t="n"/>
      <c r="C99" s="22">
        <f>IF(B99="","",IFERROR(VLOOKUP(B99,'Guest Directory'!$A$5:$B$304,2,FALSE),""))</f>
        <v/>
      </c>
      <c r="D99" s="7" t="n"/>
    </row>
    <row r="100">
      <c r="A100" s="21">
        <f>IF(B100="","",ROW()-4)</f>
        <v/>
      </c>
      <c r="B100" s="7" t="n"/>
      <c r="C100" s="22">
        <f>IF(B100="","",IFERROR(VLOOKUP(B100,'Guest Directory'!$A$5:$B$304,2,FALSE),""))</f>
        <v/>
      </c>
      <c r="D100" s="7" t="n"/>
    </row>
    <row r="101">
      <c r="A101" s="21">
        <f>IF(B101="","",ROW()-4)</f>
        <v/>
      </c>
      <c r="B101" s="7" t="n"/>
      <c r="C101" s="22">
        <f>IF(B101="","",IFERROR(VLOOKUP(B101,'Guest Directory'!$A$5:$B$304,2,FALSE),""))</f>
        <v/>
      </c>
      <c r="D101" s="7" t="n"/>
    </row>
    <row r="102">
      <c r="A102" s="21">
        <f>IF(B102="","",ROW()-4)</f>
        <v/>
      </c>
      <c r="B102" s="7" t="n"/>
      <c r="C102" s="22">
        <f>IF(B102="","",IFERROR(VLOOKUP(B102,'Guest Directory'!$A$5:$B$304,2,FALSE),""))</f>
        <v/>
      </c>
      <c r="D102" s="7" t="n"/>
    </row>
    <row r="103">
      <c r="A103" s="21">
        <f>IF(B103="","",ROW()-4)</f>
        <v/>
      </c>
      <c r="B103" s="7" t="n"/>
      <c r="C103" s="22">
        <f>IF(B103="","",IFERROR(VLOOKUP(B103,'Guest Directory'!$A$5:$B$304,2,FALSE),""))</f>
        <v/>
      </c>
      <c r="D103" s="7" t="n"/>
    </row>
    <row r="104">
      <c r="A104" s="21">
        <f>IF(B104="","",ROW()-4)</f>
        <v/>
      </c>
      <c r="B104" s="7" t="n"/>
      <c r="C104" s="22">
        <f>IF(B104="","",IFERROR(VLOOKUP(B104,'Guest Directory'!$A$5:$B$304,2,FALSE),""))</f>
        <v/>
      </c>
      <c r="D104" s="7" t="n"/>
    </row>
    <row r="105">
      <c r="A105" s="21">
        <f>IF(B105="","",ROW()-4)</f>
        <v/>
      </c>
      <c r="B105" s="7" t="n"/>
      <c r="C105" s="22">
        <f>IF(B105="","",IFERROR(VLOOKUP(B105,'Guest Directory'!$A$5:$B$304,2,FALSE),""))</f>
        <v/>
      </c>
      <c r="D105" s="7" t="n"/>
    </row>
    <row r="106">
      <c r="A106" s="21">
        <f>IF(B106="","",ROW()-4)</f>
        <v/>
      </c>
      <c r="B106" s="7" t="n"/>
      <c r="C106" s="22">
        <f>IF(B106="","",IFERROR(VLOOKUP(B106,'Guest Directory'!$A$5:$B$304,2,FALSE),""))</f>
        <v/>
      </c>
      <c r="D106" s="7" t="n"/>
    </row>
    <row r="107">
      <c r="A107" s="21">
        <f>IF(B107="","",ROW()-4)</f>
        <v/>
      </c>
      <c r="B107" s="7" t="n"/>
      <c r="C107" s="22">
        <f>IF(B107="","",IFERROR(VLOOKUP(B107,'Guest Directory'!$A$5:$B$304,2,FALSE),""))</f>
        <v/>
      </c>
      <c r="D107" s="7" t="n"/>
    </row>
    <row r="108">
      <c r="A108" s="21">
        <f>IF(B108="","",ROW()-4)</f>
        <v/>
      </c>
      <c r="B108" s="7" t="n"/>
      <c r="C108" s="22">
        <f>IF(B108="","",IFERROR(VLOOKUP(B108,'Guest Directory'!$A$5:$B$304,2,FALSE),""))</f>
        <v/>
      </c>
      <c r="D108" s="7" t="n"/>
    </row>
    <row r="109">
      <c r="A109" s="21">
        <f>IF(B109="","",ROW()-4)</f>
        <v/>
      </c>
      <c r="B109" s="7" t="n"/>
      <c r="C109" s="22">
        <f>IF(B109="","",IFERROR(VLOOKUP(B109,'Guest Directory'!$A$5:$B$304,2,FALSE),""))</f>
        <v/>
      </c>
      <c r="D109" s="7" t="n"/>
    </row>
    <row r="110">
      <c r="A110" s="21">
        <f>IF(B110="","",ROW()-4)</f>
        <v/>
      </c>
      <c r="B110" s="7" t="n"/>
      <c r="C110" s="22">
        <f>IF(B110="","",IFERROR(VLOOKUP(B110,'Guest Directory'!$A$5:$B$304,2,FALSE),""))</f>
        <v/>
      </c>
      <c r="D110" s="7" t="n"/>
    </row>
    <row r="111">
      <c r="A111" s="21">
        <f>IF(B111="","",ROW()-4)</f>
        <v/>
      </c>
      <c r="B111" s="7" t="n"/>
      <c r="C111" s="22">
        <f>IF(B111="","",IFERROR(VLOOKUP(B111,'Guest Directory'!$A$5:$B$304,2,FALSE),""))</f>
        <v/>
      </c>
      <c r="D111" s="7" t="n"/>
    </row>
    <row r="112">
      <c r="A112" s="21">
        <f>IF(B112="","",ROW()-4)</f>
        <v/>
      </c>
      <c r="B112" s="7" t="n"/>
      <c r="C112" s="22">
        <f>IF(B112="","",IFERROR(VLOOKUP(B112,'Guest Directory'!$A$5:$B$304,2,FALSE),""))</f>
        <v/>
      </c>
      <c r="D112" s="7" t="n"/>
    </row>
    <row r="113">
      <c r="A113" s="21">
        <f>IF(B113="","",ROW()-4)</f>
        <v/>
      </c>
      <c r="B113" s="7" t="n"/>
      <c r="C113" s="22">
        <f>IF(B113="","",IFERROR(VLOOKUP(B113,'Guest Directory'!$A$5:$B$304,2,FALSE),""))</f>
        <v/>
      </c>
      <c r="D113" s="7" t="n"/>
    </row>
    <row r="114">
      <c r="A114" s="21">
        <f>IF(B114="","",ROW()-4)</f>
        <v/>
      </c>
      <c r="B114" s="7" t="n"/>
      <c r="C114" s="22">
        <f>IF(B114="","",IFERROR(VLOOKUP(B114,'Guest Directory'!$A$5:$B$304,2,FALSE),""))</f>
        <v/>
      </c>
      <c r="D114" s="7" t="n"/>
    </row>
    <row r="115">
      <c r="A115" s="21">
        <f>IF(B115="","",ROW()-4)</f>
        <v/>
      </c>
      <c r="B115" s="7" t="n"/>
      <c r="C115" s="22">
        <f>IF(B115="","",IFERROR(VLOOKUP(B115,'Guest Directory'!$A$5:$B$304,2,FALSE),""))</f>
        <v/>
      </c>
      <c r="D115" s="7" t="n"/>
    </row>
    <row r="116">
      <c r="A116" s="21">
        <f>IF(B116="","",ROW()-4)</f>
        <v/>
      </c>
      <c r="B116" s="7" t="n"/>
      <c r="C116" s="22">
        <f>IF(B116="","",IFERROR(VLOOKUP(B116,'Guest Directory'!$A$5:$B$304,2,FALSE),""))</f>
        <v/>
      </c>
      <c r="D116" s="7" t="n"/>
    </row>
    <row r="117">
      <c r="A117" s="21">
        <f>IF(B117="","",ROW()-4)</f>
        <v/>
      </c>
      <c r="B117" s="7" t="n"/>
      <c r="C117" s="22">
        <f>IF(B117="","",IFERROR(VLOOKUP(B117,'Guest Directory'!$A$5:$B$304,2,FALSE),""))</f>
        <v/>
      </c>
      <c r="D117" s="7" t="n"/>
    </row>
    <row r="118">
      <c r="A118" s="21">
        <f>IF(B118="","",ROW()-4)</f>
        <v/>
      </c>
      <c r="B118" s="7" t="n"/>
      <c r="C118" s="22">
        <f>IF(B118="","",IFERROR(VLOOKUP(B118,'Guest Directory'!$A$5:$B$304,2,FALSE),""))</f>
        <v/>
      </c>
      <c r="D118" s="7" t="n"/>
    </row>
    <row r="119">
      <c r="A119" s="21">
        <f>IF(B119="","",ROW()-4)</f>
        <v/>
      </c>
      <c r="B119" s="7" t="n"/>
      <c r="C119" s="22">
        <f>IF(B119="","",IFERROR(VLOOKUP(B119,'Guest Directory'!$A$5:$B$304,2,FALSE),""))</f>
        <v/>
      </c>
      <c r="D119" s="7" t="n"/>
    </row>
    <row r="120">
      <c r="A120" s="21">
        <f>IF(B120="","",ROW()-4)</f>
        <v/>
      </c>
      <c r="B120" s="7" t="n"/>
      <c r="C120" s="22">
        <f>IF(B120="","",IFERROR(VLOOKUP(B120,'Guest Directory'!$A$5:$B$304,2,FALSE),""))</f>
        <v/>
      </c>
      <c r="D120" s="7" t="n"/>
    </row>
    <row r="121">
      <c r="A121" s="21">
        <f>IF(B121="","",ROW()-4)</f>
        <v/>
      </c>
      <c r="B121" s="7" t="n"/>
      <c r="C121" s="22">
        <f>IF(B121="","",IFERROR(VLOOKUP(B121,'Guest Directory'!$A$5:$B$304,2,FALSE),""))</f>
        <v/>
      </c>
      <c r="D121" s="7" t="n"/>
    </row>
    <row r="122">
      <c r="A122" s="21">
        <f>IF(B122="","",ROW()-4)</f>
        <v/>
      </c>
      <c r="B122" s="7" t="n"/>
      <c r="C122" s="22">
        <f>IF(B122="","",IFERROR(VLOOKUP(B122,'Guest Directory'!$A$5:$B$304,2,FALSE),""))</f>
        <v/>
      </c>
      <c r="D122" s="7" t="n"/>
    </row>
    <row r="123">
      <c r="A123" s="21">
        <f>IF(B123="","",ROW()-4)</f>
        <v/>
      </c>
      <c r="B123" s="7" t="n"/>
      <c r="C123" s="22">
        <f>IF(B123="","",IFERROR(VLOOKUP(B123,'Guest Directory'!$A$5:$B$304,2,FALSE),""))</f>
        <v/>
      </c>
      <c r="D123" s="7" t="n"/>
    </row>
    <row r="124">
      <c r="A124" s="21">
        <f>IF(B124="","",ROW()-4)</f>
        <v/>
      </c>
      <c r="B124" s="7" t="n"/>
      <c r="C124" s="22">
        <f>IF(B124="","",IFERROR(VLOOKUP(B124,'Guest Directory'!$A$5:$B$304,2,FALSE),""))</f>
        <v/>
      </c>
      <c r="D124" s="7" t="n"/>
    </row>
    <row r="125">
      <c r="A125" s="21">
        <f>IF(B125="","",ROW()-4)</f>
        <v/>
      </c>
      <c r="B125" s="7" t="n"/>
      <c r="C125" s="22">
        <f>IF(B125="","",IFERROR(VLOOKUP(B125,'Guest Directory'!$A$5:$B$304,2,FALSE),""))</f>
        <v/>
      </c>
      <c r="D125" s="7" t="n"/>
    </row>
    <row r="126">
      <c r="A126" s="21">
        <f>IF(B126="","",ROW()-4)</f>
        <v/>
      </c>
      <c r="B126" s="7" t="n"/>
      <c r="C126" s="22">
        <f>IF(B126="","",IFERROR(VLOOKUP(B126,'Guest Directory'!$A$5:$B$304,2,FALSE),""))</f>
        <v/>
      </c>
      <c r="D126" s="7" t="n"/>
    </row>
    <row r="127">
      <c r="A127" s="21">
        <f>IF(B127="","",ROW()-4)</f>
        <v/>
      </c>
      <c r="B127" s="7" t="n"/>
      <c r="C127" s="22">
        <f>IF(B127="","",IFERROR(VLOOKUP(B127,'Guest Directory'!$A$5:$B$304,2,FALSE),""))</f>
        <v/>
      </c>
      <c r="D127" s="7" t="n"/>
    </row>
    <row r="128">
      <c r="A128" s="21">
        <f>IF(B128="","",ROW()-4)</f>
        <v/>
      </c>
      <c r="B128" s="7" t="n"/>
      <c r="C128" s="22">
        <f>IF(B128="","",IFERROR(VLOOKUP(B128,'Guest Directory'!$A$5:$B$304,2,FALSE),""))</f>
        <v/>
      </c>
      <c r="D128" s="7" t="n"/>
    </row>
    <row r="129">
      <c r="A129" s="21">
        <f>IF(B129="","",ROW()-4)</f>
        <v/>
      </c>
      <c r="B129" s="7" t="n"/>
      <c r="C129" s="22">
        <f>IF(B129="","",IFERROR(VLOOKUP(B129,'Guest Directory'!$A$5:$B$304,2,FALSE),""))</f>
        <v/>
      </c>
      <c r="D129" s="7" t="n"/>
    </row>
    <row r="130">
      <c r="A130" s="21">
        <f>IF(B130="","",ROW()-4)</f>
        <v/>
      </c>
      <c r="B130" s="7" t="n"/>
      <c r="C130" s="22">
        <f>IF(B130="","",IFERROR(VLOOKUP(B130,'Guest Directory'!$A$5:$B$304,2,FALSE),""))</f>
        <v/>
      </c>
      <c r="D130" s="7" t="n"/>
    </row>
    <row r="131">
      <c r="A131" s="21">
        <f>IF(B131="","",ROW()-4)</f>
        <v/>
      </c>
      <c r="B131" s="7" t="n"/>
      <c r="C131" s="22">
        <f>IF(B131="","",IFERROR(VLOOKUP(B131,'Guest Directory'!$A$5:$B$304,2,FALSE),""))</f>
        <v/>
      </c>
      <c r="D131" s="7" t="n"/>
    </row>
    <row r="132">
      <c r="A132" s="21">
        <f>IF(B132="","",ROW()-4)</f>
        <v/>
      </c>
      <c r="B132" s="7" t="n"/>
      <c r="C132" s="22">
        <f>IF(B132="","",IFERROR(VLOOKUP(B132,'Guest Directory'!$A$5:$B$304,2,FALSE),""))</f>
        <v/>
      </c>
      <c r="D132" s="7" t="n"/>
    </row>
    <row r="133">
      <c r="A133" s="21">
        <f>IF(B133="","",ROW()-4)</f>
        <v/>
      </c>
      <c r="B133" s="7" t="n"/>
      <c r="C133" s="22">
        <f>IF(B133="","",IFERROR(VLOOKUP(B133,'Guest Directory'!$A$5:$B$304,2,FALSE),""))</f>
        <v/>
      </c>
      <c r="D133" s="7" t="n"/>
    </row>
    <row r="134">
      <c r="A134" s="21">
        <f>IF(B134="","",ROW()-4)</f>
        <v/>
      </c>
      <c r="B134" s="7" t="n"/>
      <c r="C134" s="22">
        <f>IF(B134="","",IFERROR(VLOOKUP(B134,'Guest Directory'!$A$5:$B$304,2,FALSE),""))</f>
        <v/>
      </c>
      <c r="D134" s="7" t="n"/>
    </row>
    <row r="135">
      <c r="A135" s="21">
        <f>IF(B135="","",ROW()-4)</f>
        <v/>
      </c>
      <c r="B135" s="7" t="n"/>
      <c r="C135" s="22">
        <f>IF(B135="","",IFERROR(VLOOKUP(B135,'Guest Directory'!$A$5:$B$304,2,FALSE),""))</f>
        <v/>
      </c>
      <c r="D135" s="7" t="n"/>
    </row>
    <row r="136">
      <c r="A136" s="21">
        <f>IF(B136="","",ROW()-4)</f>
        <v/>
      </c>
      <c r="B136" s="7" t="n"/>
      <c r="C136" s="22">
        <f>IF(B136="","",IFERROR(VLOOKUP(B136,'Guest Directory'!$A$5:$B$304,2,FALSE),""))</f>
        <v/>
      </c>
      <c r="D136" s="7" t="n"/>
    </row>
    <row r="137">
      <c r="A137" s="21">
        <f>IF(B137="","",ROW()-4)</f>
        <v/>
      </c>
      <c r="B137" s="7" t="n"/>
      <c r="C137" s="22">
        <f>IF(B137="","",IFERROR(VLOOKUP(B137,'Guest Directory'!$A$5:$B$304,2,FALSE),""))</f>
        <v/>
      </c>
      <c r="D137" s="7" t="n"/>
    </row>
    <row r="138">
      <c r="A138" s="21">
        <f>IF(B138="","",ROW()-4)</f>
        <v/>
      </c>
      <c r="B138" s="7" t="n"/>
      <c r="C138" s="22">
        <f>IF(B138="","",IFERROR(VLOOKUP(B138,'Guest Directory'!$A$5:$B$304,2,FALSE),""))</f>
        <v/>
      </c>
      <c r="D138" s="7" t="n"/>
    </row>
    <row r="139">
      <c r="A139" s="21">
        <f>IF(B139="","",ROW()-4)</f>
        <v/>
      </c>
      <c r="B139" s="7" t="n"/>
      <c r="C139" s="22">
        <f>IF(B139="","",IFERROR(VLOOKUP(B139,'Guest Directory'!$A$5:$B$304,2,FALSE),""))</f>
        <v/>
      </c>
      <c r="D139" s="7" t="n"/>
    </row>
    <row r="140">
      <c r="A140" s="21">
        <f>IF(B140="","",ROW()-4)</f>
        <v/>
      </c>
      <c r="B140" s="7" t="n"/>
      <c r="C140" s="22">
        <f>IF(B140="","",IFERROR(VLOOKUP(B140,'Guest Directory'!$A$5:$B$304,2,FALSE),""))</f>
        <v/>
      </c>
      <c r="D140" s="7" t="n"/>
    </row>
    <row r="141">
      <c r="A141" s="21">
        <f>IF(B141="","",ROW()-4)</f>
        <v/>
      </c>
      <c r="B141" s="7" t="n"/>
      <c r="C141" s="22">
        <f>IF(B141="","",IFERROR(VLOOKUP(B141,'Guest Directory'!$A$5:$B$304,2,FALSE),""))</f>
        <v/>
      </c>
      <c r="D141" s="7" t="n"/>
    </row>
    <row r="142">
      <c r="A142" s="21">
        <f>IF(B142="","",ROW()-4)</f>
        <v/>
      </c>
      <c r="B142" s="7" t="n"/>
      <c r="C142" s="22">
        <f>IF(B142="","",IFERROR(VLOOKUP(B142,'Guest Directory'!$A$5:$B$304,2,FALSE),""))</f>
        <v/>
      </c>
      <c r="D142" s="7" t="n"/>
    </row>
    <row r="143">
      <c r="A143" s="21">
        <f>IF(B143="","",ROW()-4)</f>
        <v/>
      </c>
      <c r="B143" s="7" t="n"/>
      <c r="C143" s="22">
        <f>IF(B143="","",IFERROR(VLOOKUP(B143,'Guest Directory'!$A$5:$B$304,2,FALSE),""))</f>
        <v/>
      </c>
      <c r="D143" s="7" t="n"/>
    </row>
    <row r="144">
      <c r="A144" s="21">
        <f>IF(B144="","",ROW()-4)</f>
        <v/>
      </c>
      <c r="B144" s="7" t="n"/>
      <c r="C144" s="22">
        <f>IF(B144="","",IFERROR(VLOOKUP(B144,'Guest Directory'!$A$5:$B$304,2,FALSE),""))</f>
        <v/>
      </c>
      <c r="D144" s="7" t="n"/>
    </row>
    <row r="145">
      <c r="A145" s="21">
        <f>IF(B145="","",ROW()-4)</f>
        <v/>
      </c>
      <c r="B145" s="7" t="n"/>
      <c r="C145" s="22">
        <f>IF(B145="","",IFERROR(VLOOKUP(B145,'Guest Directory'!$A$5:$B$304,2,FALSE),""))</f>
        <v/>
      </c>
      <c r="D145" s="7" t="n"/>
    </row>
    <row r="146">
      <c r="A146" s="21">
        <f>IF(B146="","",ROW()-4)</f>
        <v/>
      </c>
      <c r="B146" s="7" t="n"/>
      <c r="C146" s="22">
        <f>IF(B146="","",IFERROR(VLOOKUP(B146,'Guest Directory'!$A$5:$B$304,2,FALSE),""))</f>
        <v/>
      </c>
      <c r="D146" s="7" t="n"/>
    </row>
    <row r="147">
      <c r="A147" s="21">
        <f>IF(B147="","",ROW()-4)</f>
        <v/>
      </c>
      <c r="B147" s="7" t="n"/>
      <c r="C147" s="22">
        <f>IF(B147="","",IFERROR(VLOOKUP(B147,'Guest Directory'!$A$5:$B$304,2,FALSE),""))</f>
        <v/>
      </c>
      <c r="D147" s="7" t="n"/>
    </row>
    <row r="148">
      <c r="A148" s="21">
        <f>IF(B148="","",ROW()-4)</f>
        <v/>
      </c>
      <c r="B148" s="7" t="n"/>
      <c r="C148" s="22">
        <f>IF(B148="","",IFERROR(VLOOKUP(B148,'Guest Directory'!$A$5:$B$304,2,FALSE),""))</f>
        <v/>
      </c>
      <c r="D148" s="7" t="n"/>
    </row>
    <row r="149">
      <c r="A149" s="21">
        <f>IF(B149="","",ROW()-4)</f>
        <v/>
      </c>
      <c r="B149" s="7" t="n"/>
      <c r="C149" s="22">
        <f>IF(B149="","",IFERROR(VLOOKUP(B149,'Guest Directory'!$A$5:$B$304,2,FALSE),""))</f>
        <v/>
      </c>
      <c r="D149" s="7" t="n"/>
    </row>
    <row r="150">
      <c r="A150" s="21">
        <f>IF(B150="","",ROW()-4)</f>
        <v/>
      </c>
      <c r="B150" s="7" t="n"/>
      <c r="C150" s="22">
        <f>IF(B150="","",IFERROR(VLOOKUP(B150,'Guest Directory'!$A$5:$B$304,2,FALSE),""))</f>
        <v/>
      </c>
      <c r="D150" s="7" t="n"/>
    </row>
    <row r="151">
      <c r="A151" s="21">
        <f>IF(B151="","",ROW()-4)</f>
        <v/>
      </c>
      <c r="B151" s="7" t="n"/>
      <c r="C151" s="22">
        <f>IF(B151="","",IFERROR(VLOOKUP(B151,'Guest Directory'!$A$5:$B$304,2,FALSE),""))</f>
        <v/>
      </c>
      <c r="D151" s="7" t="n"/>
    </row>
    <row r="152">
      <c r="A152" s="21">
        <f>IF(B152="","",ROW()-4)</f>
        <v/>
      </c>
      <c r="B152" s="7" t="n"/>
      <c r="C152" s="22">
        <f>IF(B152="","",IFERROR(VLOOKUP(B152,'Guest Directory'!$A$5:$B$304,2,FALSE),""))</f>
        <v/>
      </c>
      <c r="D152" s="7" t="n"/>
    </row>
    <row r="153">
      <c r="A153" s="21">
        <f>IF(B153="","",ROW()-4)</f>
        <v/>
      </c>
      <c r="B153" s="7" t="n"/>
      <c r="C153" s="22">
        <f>IF(B153="","",IFERROR(VLOOKUP(B153,'Guest Directory'!$A$5:$B$304,2,FALSE),""))</f>
        <v/>
      </c>
      <c r="D153" s="7" t="n"/>
    </row>
    <row r="154">
      <c r="A154" s="21">
        <f>IF(B154="","",ROW()-4)</f>
        <v/>
      </c>
      <c r="B154" s="7" t="n"/>
      <c r="C154" s="22">
        <f>IF(B154="","",IFERROR(VLOOKUP(B154,'Guest Directory'!$A$5:$B$304,2,FALSE),""))</f>
        <v/>
      </c>
      <c r="D154" s="7" t="n"/>
    </row>
    <row r="155">
      <c r="A155" s="21">
        <f>IF(B155="","",ROW()-4)</f>
        <v/>
      </c>
      <c r="B155" s="7" t="n"/>
      <c r="C155" s="22">
        <f>IF(B155="","",IFERROR(VLOOKUP(B155,'Guest Directory'!$A$5:$B$304,2,FALSE),""))</f>
        <v/>
      </c>
      <c r="D155" s="7" t="n"/>
    </row>
    <row r="156">
      <c r="A156" s="21">
        <f>IF(B156="","",ROW()-4)</f>
        <v/>
      </c>
      <c r="B156" s="7" t="n"/>
      <c r="C156" s="22">
        <f>IF(B156="","",IFERROR(VLOOKUP(B156,'Guest Directory'!$A$5:$B$304,2,FALSE),""))</f>
        <v/>
      </c>
      <c r="D156" s="7" t="n"/>
    </row>
    <row r="157">
      <c r="A157" s="21">
        <f>IF(B157="","",ROW()-4)</f>
        <v/>
      </c>
      <c r="B157" s="7" t="n"/>
      <c r="C157" s="22">
        <f>IF(B157="","",IFERROR(VLOOKUP(B157,'Guest Directory'!$A$5:$B$304,2,FALSE),""))</f>
        <v/>
      </c>
      <c r="D157" s="7" t="n"/>
    </row>
    <row r="158">
      <c r="A158" s="21">
        <f>IF(B158="","",ROW()-4)</f>
        <v/>
      </c>
      <c r="B158" s="7" t="n"/>
      <c r="C158" s="22">
        <f>IF(B158="","",IFERROR(VLOOKUP(B158,'Guest Directory'!$A$5:$B$304,2,FALSE),""))</f>
        <v/>
      </c>
      <c r="D158" s="7" t="n"/>
    </row>
    <row r="159">
      <c r="A159" s="21">
        <f>IF(B159="","",ROW()-4)</f>
        <v/>
      </c>
      <c r="B159" s="7" t="n"/>
      <c r="C159" s="22">
        <f>IF(B159="","",IFERROR(VLOOKUP(B159,'Guest Directory'!$A$5:$B$304,2,FALSE),""))</f>
        <v/>
      </c>
      <c r="D159" s="7" t="n"/>
    </row>
    <row r="160">
      <c r="A160" s="21">
        <f>IF(B160="","",ROW()-4)</f>
        <v/>
      </c>
      <c r="B160" s="7" t="n"/>
      <c r="C160" s="22">
        <f>IF(B160="","",IFERROR(VLOOKUP(B160,'Guest Directory'!$A$5:$B$304,2,FALSE),""))</f>
        <v/>
      </c>
      <c r="D160" s="7" t="n"/>
    </row>
    <row r="161">
      <c r="A161" s="21">
        <f>IF(B161="","",ROW()-4)</f>
        <v/>
      </c>
      <c r="B161" s="7" t="n"/>
      <c r="C161" s="22">
        <f>IF(B161="","",IFERROR(VLOOKUP(B161,'Guest Directory'!$A$5:$B$304,2,FALSE),""))</f>
        <v/>
      </c>
      <c r="D161" s="7" t="n"/>
    </row>
    <row r="162">
      <c r="A162" s="21">
        <f>IF(B162="","",ROW()-4)</f>
        <v/>
      </c>
      <c r="B162" s="7" t="n"/>
      <c r="C162" s="22">
        <f>IF(B162="","",IFERROR(VLOOKUP(B162,'Guest Directory'!$A$5:$B$304,2,FALSE),""))</f>
        <v/>
      </c>
      <c r="D162" s="7" t="n"/>
    </row>
    <row r="163">
      <c r="A163" s="21">
        <f>IF(B163="","",ROW()-4)</f>
        <v/>
      </c>
      <c r="B163" s="7" t="n"/>
      <c r="C163" s="22">
        <f>IF(B163="","",IFERROR(VLOOKUP(B163,'Guest Directory'!$A$5:$B$304,2,FALSE),""))</f>
        <v/>
      </c>
      <c r="D163" s="7" t="n"/>
    </row>
    <row r="164">
      <c r="A164" s="21">
        <f>IF(B164="","",ROW()-4)</f>
        <v/>
      </c>
      <c r="B164" s="7" t="n"/>
      <c r="C164" s="22">
        <f>IF(B164="","",IFERROR(VLOOKUP(B164,'Guest Directory'!$A$5:$B$304,2,FALSE),""))</f>
        <v/>
      </c>
      <c r="D164" s="7" t="n"/>
    </row>
    <row r="165">
      <c r="A165" s="21">
        <f>IF(B165="","",ROW()-4)</f>
        <v/>
      </c>
      <c r="B165" s="7" t="n"/>
      <c r="C165" s="22">
        <f>IF(B165="","",IFERROR(VLOOKUP(B165,'Guest Directory'!$A$5:$B$304,2,FALSE),""))</f>
        <v/>
      </c>
      <c r="D165" s="7" t="n"/>
    </row>
    <row r="166">
      <c r="A166" s="21">
        <f>IF(B166="","",ROW()-4)</f>
        <v/>
      </c>
      <c r="B166" s="7" t="n"/>
      <c r="C166" s="22">
        <f>IF(B166="","",IFERROR(VLOOKUP(B166,'Guest Directory'!$A$5:$B$304,2,FALSE),""))</f>
        <v/>
      </c>
      <c r="D166" s="7" t="n"/>
    </row>
    <row r="167">
      <c r="A167" s="21">
        <f>IF(B167="","",ROW()-4)</f>
        <v/>
      </c>
      <c r="B167" s="7" t="n"/>
      <c r="C167" s="22">
        <f>IF(B167="","",IFERROR(VLOOKUP(B167,'Guest Directory'!$A$5:$B$304,2,FALSE),""))</f>
        <v/>
      </c>
      <c r="D167" s="7" t="n"/>
    </row>
    <row r="168">
      <c r="A168" s="21">
        <f>IF(B168="","",ROW()-4)</f>
        <v/>
      </c>
      <c r="B168" s="7" t="n"/>
      <c r="C168" s="22">
        <f>IF(B168="","",IFERROR(VLOOKUP(B168,'Guest Directory'!$A$5:$B$304,2,FALSE),""))</f>
        <v/>
      </c>
      <c r="D168" s="7" t="n"/>
    </row>
    <row r="169">
      <c r="A169" s="21">
        <f>IF(B169="","",ROW()-4)</f>
        <v/>
      </c>
      <c r="B169" s="7" t="n"/>
      <c r="C169" s="22">
        <f>IF(B169="","",IFERROR(VLOOKUP(B169,'Guest Directory'!$A$5:$B$304,2,FALSE),""))</f>
        <v/>
      </c>
      <c r="D169" s="7" t="n"/>
    </row>
    <row r="170">
      <c r="A170" s="21">
        <f>IF(B170="","",ROW()-4)</f>
        <v/>
      </c>
      <c r="B170" s="7" t="n"/>
      <c r="C170" s="22">
        <f>IF(B170="","",IFERROR(VLOOKUP(B170,'Guest Directory'!$A$5:$B$304,2,FALSE),""))</f>
        <v/>
      </c>
      <c r="D170" s="7" t="n"/>
    </row>
    <row r="171">
      <c r="A171" s="21">
        <f>IF(B171="","",ROW()-4)</f>
        <v/>
      </c>
      <c r="B171" s="7" t="n"/>
      <c r="C171" s="22">
        <f>IF(B171="","",IFERROR(VLOOKUP(B171,'Guest Directory'!$A$5:$B$304,2,FALSE),""))</f>
        <v/>
      </c>
      <c r="D171" s="7" t="n"/>
    </row>
    <row r="172">
      <c r="A172" s="21">
        <f>IF(B172="","",ROW()-4)</f>
        <v/>
      </c>
      <c r="B172" s="7" t="n"/>
      <c r="C172" s="22">
        <f>IF(B172="","",IFERROR(VLOOKUP(B172,'Guest Directory'!$A$5:$B$304,2,FALSE),""))</f>
        <v/>
      </c>
      <c r="D172" s="7" t="n"/>
    </row>
    <row r="173">
      <c r="A173" s="21">
        <f>IF(B173="","",ROW()-4)</f>
        <v/>
      </c>
      <c r="B173" s="7" t="n"/>
      <c r="C173" s="22">
        <f>IF(B173="","",IFERROR(VLOOKUP(B173,'Guest Directory'!$A$5:$B$304,2,FALSE),""))</f>
        <v/>
      </c>
      <c r="D173" s="7" t="n"/>
    </row>
    <row r="174">
      <c r="A174" s="21">
        <f>IF(B174="","",ROW()-4)</f>
        <v/>
      </c>
      <c r="B174" s="7" t="n"/>
      <c r="C174" s="22">
        <f>IF(B174="","",IFERROR(VLOOKUP(B174,'Guest Directory'!$A$5:$B$304,2,FALSE),""))</f>
        <v/>
      </c>
      <c r="D174" s="7" t="n"/>
    </row>
    <row r="175">
      <c r="A175" s="21">
        <f>IF(B175="","",ROW()-4)</f>
        <v/>
      </c>
      <c r="B175" s="7" t="n"/>
      <c r="C175" s="22">
        <f>IF(B175="","",IFERROR(VLOOKUP(B175,'Guest Directory'!$A$5:$B$304,2,FALSE),""))</f>
        <v/>
      </c>
      <c r="D175" s="7" t="n"/>
    </row>
    <row r="176">
      <c r="A176" s="21">
        <f>IF(B176="","",ROW()-4)</f>
        <v/>
      </c>
      <c r="B176" s="7" t="n"/>
      <c r="C176" s="22">
        <f>IF(B176="","",IFERROR(VLOOKUP(B176,'Guest Directory'!$A$5:$B$304,2,FALSE),""))</f>
        <v/>
      </c>
      <c r="D176" s="7" t="n"/>
    </row>
    <row r="177">
      <c r="A177" s="21">
        <f>IF(B177="","",ROW()-4)</f>
        <v/>
      </c>
      <c r="B177" s="7" t="n"/>
      <c r="C177" s="22">
        <f>IF(B177="","",IFERROR(VLOOKUP(B177,'Guest Directory'!$A$5:$B$304,2,FALSE),""))</f>
        <v/>
      </c>
      <c r="D177" s="7" t="n"/>
    </row>
    <row r="178">
      <c r="A178" s="21">
        <f>IF(B178="","",ROW()-4)</f>
        <v/>
      </c>
      <c r="B178" s="7" t="n"/>
      <c r="C178" s="22">
        <f>IF(B178="","",IFERROR(VLOOKUP(B178,'Guest Directory'!$A$5:$B$304,2,FALSE),""))</f>
        <v/>
      </c>
      <c r="D178" s="7" t="n"/>
    </row>
    <row r="179">
      <c r="A179" s="21">
        <f>IF(B179="","",ROW()-4)</f>
        <v/>
      </c>
      <c r="B179" s="7" t="n"/>
      <c r="C179" s="22">
        <f>IF(B179="","",IFERROR(VLOOKUP(B179,'Guest Directory'!$A$5:$B$304,2,FALSE),""))</f>
        <v/>
      </c>
      <c r="D179" s="7" t="n"/>
    </row>
    <row r="180">
      <c r="A180" s="21">
        <f>IF(B180="","",ROW()-4)</f>
        <v/>
      </c>
      <c r="B180" s="7" t="n"/>
      <c r="C180" s="22">
        <f>IF(B180="","",IFERROR(VLOOKUP(B180,'Guest Directory'!$A$5:$B$304,2,FALSE),""))</f>
        <v/>
      </c>
      <c r="D180" s="7" t="n"/>
    </row>
    <row r="181">
      <c r="A181" s="21">
        <f>IF(B181="","",ROW()-4)</f>
        <v/>
      </c>
      <c r="B181" s="7" t="n"/>
      <c r="C181" s="22">
        <f>IF(B181="","",IFERROR(VLOOKUP(B181,'Guest Directory'!$A$5:$B$304,2,FALSE),""))</f>
        <v/>
      </c>
      <c r="D181" s="7" t="n"/>
    </row>
    <row r="182">
      <c r="A182" s="21">
        <f>IF(B182="","",ROW()-4)</f>
        <v/>
      </c>
      <c r="B182" s="7" t="n"/>
      <c r="C182" s="22">
        <f>IF(B182="","",IFERROR(VLOOKUP(B182,'Guest Directory'!$A$5:$B$304,2,FALSE),""))</f>
        <v/>
      </c>
      <c r="D182" s="7" t="n"/>
    </row>
    <row r="183">
      <c r="A183" s="21">
        <f>IF(B183="","",ROW()-4)</f>
        <v/>
      </c>
      <c r="B183" s="7" t="n"/>
      <c r="C183" s="22">
        <f>IF(B183="","",IFERROR(VLOOKUP(B183,'Guest Directory'!$A$5:$B$304,2,FALSE),""))</f>
        <v/>
      </c>
      <c r="D183" s="7" t="n"/>
    </row>
    <row r="184">
      <c r="A184" s="21">
        <f>IF(B184="","",ROW()-4)</f>
        <v/>
      </c>
      <c r="B184" s="7" t="n"/>
      <c r="C184" s="22">
        <f>IF(B184="","",IFERROR(VLOOKUP(B184,'Guest Directory'!$A$5:$B$304,2,FALSE),""))</f>
        <v/>
      </c>
      <c r="D184" s="7" t="n"/>
    </row>
    <row r="185">
      <c r="A185" s="21">
        <f>IF(B185="","",ROW()-4)</f>
        <v/>
      </c>
      <c r="B185" s="7" t="n"/>
      <c r="C185" s="22">
        <f>IF(B185="","",IFERROR(VLOOKUP(B185,'Guest Directory'!$A$5:$B$304,2,FALSE),""))</f>
        <v/>
      </c>
      <c r="D185" s="7" t="n"/>
    </row>
    <row r="186">
      <c r="A186" s="21">
        <f>IF(B186="","",ROW()-4)</f>
        <v/>
      </c>
      <c r="B186" s="7" t="n"/>
      <c r="C186" s="22">
        <f>IF(B186="","",IFERROR(VLOOKUP(B186,'Guest Directory'!$A$5:$B$304,2,FALSE),""))</f>
        <v/>
      </c>
      <c r="D186" s="7" t="n"/>
    </row>
    <row r="187">
      <c r="A187" s="21">
        <f>IF(B187="","",ROW()-4)</f>
        <v/>
      </c>
      <c r="B187" s="7" t="n"/>
      <c r="C187" s="22">
        <f>IF(B187="","",IFERROR(VLOOKUP(B187,'Guest Directory'!$A$5:$B$304,2,FALSE),""))</f>
        <v/>
      </c>
      <c r="D187" s="7" t="n"/>
    </row>
    <row r="188">
      <c r="A188" s="21">
        <f>IF(B188="","",ROW()-4)</f>
        <v/>
      </c>
      <c r="B188" s="7" t="n"/>
      <c r="C188" s="22">
        <f>IF(B188="","",IFERROR(VLOOKUP(B188,'Guest Directory'!$A$5:$B$304,2,FALSE),""))</f>
        <v/>
      </c>
      <c r="D188" s="7" t="n"/>
    </row>
    <row r="189">
      <c r="A189" s="21">
        <f>IF(B189="","",ROW()-4)</f>
        <v/>
      </c>
      <c r="B189" s="7" t="n"/>
      <c r="C189" s="22">
        <f>IF(B189="","",IFERROR(VLOOKUP(B189,'Guest Directory'!$A$5:$B$304,2,FALSE),""))</f>
        <v/>
      </c>
      <c r="D189" s="7" t="n"/>
    </row>
    <row r="190">
      <c r="A190" s="21">
        <f>IF(B190="","",ROW()-4)</f>
        <v/>
      </c>
      <c r="B190" s="7" t="n"/>
      <c r="C190" s="22">
        <f>IF(B190="","",IFERROR(VLOOKUP(B190,'Guest Directory'!$A$5:$B$304,2,FALSE),""))</f>
        <v/>
      </c>
      <c r="D190" s="7" t="n"/>
    </row>
    <row r="191">
      <c r="A191" s="21">
        <f>IF(B191="","",ROW()-4)</f>
        <v/>
      </c>
      <c r="B191" s="7" t="n"/>
      <c r="C191" s="22">
        <f>IF(B191="","",IFERROR(VLOOKUP(B191,'Guest Directory'!$A$5:$B$304,2,FALSE),""))</f>
        <v/>
      </c>
      <c r="D191" s="7" t="n"/>
    </row>
    <row r="192">
      <c r="A192" s="21">
        <f>IF(B192="","",ROW()-4)</f>
        <v/>
      </c>
      <c r="B192" s="7" t="n"/>
      <c r="C192" s="22">
        <f>IF(B192="","",IFERROR(VLOOKUP(B192,'Guest Directory'!$A$5:$B$304,2,FALSE),""))</f>
        <v/>
      </c>
      <c r="D192" s="7" t="n"/>
    </row>
    <row r="193">
      <c r="A193" s="21">
        <f>IF(B193="","",ROW()-4)</f>
        <v/>
      </c>
      <c r="B193" s="7" t="n"/>
      <c r="C193" s="22">
        <f>IF(B193="","",IFERROR(VLOOKUP(B193,'Guest Directory'!$A$5:$B$304,2,FALSE),""))</f>
        <v/>
      </c>
      <c r="D193" s="7" t="n"/>
    </row>
    <row r="194">
      <c r="A194" s="21">
        <f>IF(B194="","",ROW()-4)</f>
        <v/>
      </c>
      <c r="B194" s="7" t="n"/>
      <c r="C194" s="22">
        <f>IF(B194="","",IFERROR(VLOOKUP(B194,'Guest Directory'!$A$5:$B$304,2,FALSE),""))</f>
        <v/>
      </c>
      <c r="D194" s="7" t="n"/>
    </row>
    <row r="195">
      <c r="A195" s="21">
        <f>IF(B195="","",ROW()-4)</f>
        <v/>
      </c>
      <c r="B195" s="7" t="n"/>
      <c r="C195" s="22">
        <f>IF(B195="","",IFERROR(VLOOKUP(B195,'Guest Directory'!$A$5:$B$304,2,FALSE),""))</f>
        <v/>
      </c>
      <c r="D195" s="7" t="n"/>
    </row>
    <row r="196">
      <c r="A196" s="21">
        <f>IF(B196="","",ROW()-4)</f>
        <v/>
      </c>
      <c r="B196" s="7" t="n"/>
      <c r="C196" s="22">
        <f>IF(B196="","",IFERROR(VLOOKUP(B196,'Guest Directory'!$A$5:$B$304,2,FALSE),""))</f>
        <v/>
      </c>
      <c r="D196" s="7" t="n"/>
    </row>
    <row r="197">
      <c r="A197" s="21">
        <f>IF(B197="","",ROW()-4)</f>
        <v/>
      </c>
      <c r="B197" s="7" t="n"/>
      <c r="C197" s="22">
        <f>IF(B197="","",IFERROR(VLOOKUP(B197,'Guest Directory'!$A$5:$B$304,2,FALSE),""))</f>
        <v/>
      </c>
      <c r="D197" s="7" t="n"/>
    </row>
    <row r="198">
      <c r="A198" s="21">
        <f>IF(B198="","",ROW()-4)</f>
        <v/>
      </c>
      <c r="B198" s="7" t="n"/>
      <c r="C198" s="22">
        <f>IF(B198="","",IFERROR(VLOOKUP(B198,'Guest Directory'!$A$5:$B$304,2,FALSE),""))</f>
        <v/>
      </c>
      <c r="D198" s="7" t="n"/>
    </row>
    <row r="199">
      <c r="A199" s="21">
        <f>IF(B199="","",ROW()-4)</f>
        <v/>
      </c>
      <c r="B199" s="7" t="n"/>
      <c r="C199" s="22">
        <f>IF(B199="","",IFERROR(VLOOKUP(B199,'Guest Directory'!$A$5:$B$304,2,FALSE),""))</f>
        <v/>
      </c>
      <c r="D199" s="7" t="n"/>
    </row>
    <row r="200">
      <c r="A200" s="21">
        <f>IF(B200="","",ROW()-4)</f>
        <v/>
      </c>
      <c r="B200" s="7" t="n"/>
      <c r="C200" s="22">
        <f>IF(B200="","",IFERROR(VLOOKUP(B200,'Guest Directory'!$A$5:$B$304,2,FALSE),""))</f>
        <v/>
      </c>
      <c r="D200" s="7" t="n"/>
    </row>
    <row r="201">
      <c r="A201" s="21">
        <f>IF(B201="","",ROW()-4)</f>
        <v/>
      </c>
      <c r="B201" s="7" t="n"/>
      <c r="C201" s="22">
        <f>IF(B201="","",IFERROR(VLOOKUP(B201,'Guest Directory'!$A$5:$B$304,2,FALSE),""))</f>
        <v/>
      </c>
      <c r="D201" s="7" t="n"/>
    </row>
    <row r="202">
      <c r="A202" s="21">
        <f>IF(B202="","",ROW()-4)</f>
        <v/>
      </c>
      <c r="B202" s="7" t="n"/>
      <c r="C202" s="22">
        <f>IF(B202="","",IFERROR(VLOOKUP(B202,'Guest Directory'!$A$5:$B$304,2,FALSE),""))</f>
        <v/>
      </c>
      <c r="D202" s="7" t="n"/>
    </row>
    <row r="203">
      <c r="A203" s="21">
        <f>IF(B203="","",ROW()-4)</f>
        <v/>
      </c>
      <c r="B203" s="7" t="n"/>
      <c r="C203" s="22">
        <f>IF(B203="","",IFERROR(VLOOKUP(B203,'Guest Directory'!$A$5:$B$304,2,FALSE),""))</f>
        <v/>
      </c>
      <c r="D203" s="7" t="n"/>
    </row>
    <row r="204">
      <c r="A204" s="21">
        <f>IF(B204="","",ROW()-4)</f>
        <v/>
      </c>
      <c r="B204" s="7" t="n"/>
      <c r="C204" s="22">
        <f>IF(B204="","",IFERROR(VLOOKUP(B204,'Guest Directory'!$A$5:$B$304,2,FALSE),""))</f>
        <v/>
      </c>
      <c r="D204" s="7" t="n"/>
    </row>
    <row r="205">
      <c r="A205" s="21">
        <f>IF(B205="","",ROW()-4)</f>
        <v/>
      </c>
      <c r="B205" s="7" t="n"/>
      <c r="C205" s="22">
        <f>IF(B205="","",IFERROR(VLOOKUP(B205,'Guest Directory'!$A$5:$B$304,2,FALSE),""))</f>
        <v/>
      </c>
      <c r="D205" s="7" t="n"/>
    </row>
    <row r="206">
      <c r="A206" s="21">
        <f>IF(B206="","",ROW()-4)</f>
        <v/>
      </c>
      <c r="B206" s="7" t="n"/>
      <c r="C206" s="22">
        <f>IF(B206="","",IFERROR(VLOOKUP(B206,'Guest Directory'!$A$5:$B$304,2,FALSE),""))</f>
        <v/>
      </c>
      <c r="D206" s="7" t="n"/>
    </row>
    <row r="207">
      <c r="A207" s="21">
        <f>IF(B207="","",ROW()-4)</f>
        <v/>
      </c>
      <c r="B207" s="7" t="n"/>
      <c r="C207" s="22">
        <f>IF(B207="","",IFERROR(VLOOKUP(B207,'Guest Directory'!$A$5:$B$304,2,FALSE),""))</f>
        <v/>
      </c>
      <c r="D207" s="7" t="n"/>
    </row>
    <row r="208">
      <c r="A208" s="21">
        <f>IF(B208="","",ROW()-4)</f>
        <v/>
      </c>
      <c r="B208" s="7" t="n"/>
      <c r="C208" s="22">
        <f>IF(B208="","",IFERROR(VLOOKUP(B208,'Guest Directory'!$A$5:$B$304,2,FALSE),""))</f>
        <v/>
      </c>
      <c r="D208" s="7" t="n"/>
    </row>
    <row r="209">
      <c r="A209" s="21">
        <f>IF(B209="","",ROW()-4)</f>
        <v/>
      </c>
      <c r="B209" s="7" t="n"/>
      <c r="C209" s="22">
        <f>IF(B209="","",IFERROR(VLOOKUP(B209,'Guest Directory'!$A$5:$B$304,2,FALSE),""))</f>
        <v/>
      </c>
      <c r="D209" s="7" t="n"/>
    </row>
    <row r="210">
      <c r="A210" s="21">
        <f>IF(B210="","",ROW()-4)</f>
        <v/>
      </c>
      <c r="B210" s="7" t="n"/>
      <c r="C210" s="22">
        <f>IF(B210="","",IFERROR(VLOOKUP(B210,'Guest Directory'!$A$5:$B$304,2,FALSE),""))</f>
        <v/>
      </c>
      <c r="D210" s="7" t="n"/>
    </row>
    <row r="211">
      <c r="A211" s="21">
        <f>IF(B211="","",ROW()-4)</f>
        <v/>
      </c>
      <c r="B211" s="7" t="n"/>
      <c r="C211" s="22">
        <f>IF(B211="","",IFERROR(VLOOKUP(B211,'Guest Directory'!$A$5:$B$304,2,FALSE),""))</f>
        <v/>
      </c>
      <c r="D211" s="7" t="n"/>
    </row>
    <row r="212">
      <c r="A212" s="21">
        <f>IF(B212="","",ROW()-4)</f>
        <v/>
      </c>
      <c r="B212" s="7" t="n"/>
      <c r="C212" s="22">
        <f>IF(B212="","",IFERROR(VLOOKUP(B212,'Guest Directory'!$A$5:$B$304,2,FALSE),""))</f>
        <v/>
      </c>
      <c r="D212" s="7" t="n"/>
    </row>
    <row r="213">
      <c r="A213" s="21">
        <f>IF(B213="","",ROW()-4)</f>
        <v/>
      </c>
      <c r="B213" s="7" t="n"/>
      <c r="C213" s="22">
        <f>IF(B213="","",IFERROR(VLOOKUP(B213,'Guest Directory'!$A$5:$B$304,2,FALSE),""))</f>
        <v/>
      </c>
      <c r="D213" s="7" t="n"/>
    </row>
    <row r="214">
      <c r="A214" s="21">
        <f>IF(B214="","",ROW()-4)</f>
        <v/>
      </c>
      <c r="B214" s="7" t="n"/>
      <c r="C214" s="22">
        <f>IF(B214="","",IFERROR(VLOOKUP(B214,'Guest Directory'!$A$5:$B$304,2,FALSE),""))</f>
        <v/>
      </c>
      <c r="D214" s="7" t="n"/>
    </row>
    <row r="215">
      <c r="A215" s="21">
        <f>IF(B215="","",ROW()-4)</f>
        <v/>
      </c>
      <c r="B215" s="7" t="n"/>
      <c r="C215" s="22">
        <f>IF(B215="","",IFERROR(VLOOKUP(B215,'Guest Directory'!$A$5:$B$304,2,FALSE),""))</f>
        <v/>
      </c>
      <c r="D215" s="7" t="n"/>
    </row>
    <row r="216">
      <c r="A216" s="21">
        <f>IF(B216="","",ROW()-4)</f>
        <v/>
      </c>
      <c r="B216" s="7" t="n"/>
      <c r="C216" s="22">
        <f>IF(B216="","",IFERROR(VLOOKUP(B216,'Guest Directory'!$A$5:$B$304,2,FALSE),""))</f>
        <v/>
      </c>
      <c r="D216" s="7" t="n"/>
    </row>
    <row r="217">
      <c r="A217" s="21">
        <f>IF(B217="","",ROW()-4)</f>
        <v/>
      </c>
      <c r="B217" s="7" t="n"/>
      <c r="C217" s="22">
        <f>IF(B217="","",IFERROR(VLOOKUP(B217,'Guest Directory'!$A$5:$B$304,2,FALSE),""))</f>
        <v/>
      </c>
      <c r="D217" s="7" t="n"/>
    </row>
    <row r="218">
      <c r="A218" s="21">
        <f>IF(B218="","",ROW()-4)</f>
        <v/>
      </c>
      <c r="B218" s="7" t="n"/>
      <c r="C218" s="22">
        <f>IF(B218="","",IFERROR(VLOOKUP(B218,'Guest Directory'!$A$5:$B$304,2,FALSE),""))</f>
        <v/>
      </c>
      <c r="D218" s="7" t="n"/>
    </row>
    <row r="219">
      <c r="A219" s="21">
        <f>IF(B219="","",ROW()-4)</f>
        <v/>
      </c>
      <c r="B219" s="7" t="n"/>
      <c r="C219" s="22">
        <f>IF(B219="","",IFERROR(VLOOKUP(B219,'Guest Directory'!$A$5:$B$304,2,FALSE),""))</f>
        <v/>
      </c>
      <c r="D219" s="7" t="n"/>
    </row>
    <row r="220">
      <c r="A220" s="21">
        <f>IF(B220="","",ROW()-4)</f>
        <v/>
      </c>
      <c r="B220" s="7" t="n"/>
      <c r="C220" s="22">
        <f>IF(B220="","",IFERROR(VLOOKUP(B220,'Guest Directory'!$A$5:$B$304,2,FALSE),""))</f>
        <v/>
      </c>
      <c r="D220" s="7" t="n"/>
    </row>
    <row r="221">
      <c r="A221" s="21">
        <f>IF(B221="","",ROW()-4)</f>
        <v/>
      </c>
      <c r="B221" s="7" t="n"/>
      <c r="C221" s="22">
        <f>IF(B221="","",IFERROR(VLOOKUP(B221,'Guest Directory'!$A$5:$B$304,2,FALSE),""))</f>
        <v/>
      </c>
      <c r="D221" s="7" t="n"/>
    </row>
    <row r="222">
      <c r="A222" s="21">
        <f>IF(B222="","",ROW()-4)</f>
        <v/>
      </c>
      <c r="B222" s="7" t="n"/>
      <c r="C222" s="22">
        <f>IF(B222="","",IFERROR(VLOOKUP(B222,'Guest Directory'!$A$5:$B$304,2,FALSE),""))</f>
        <v/>
      </c>
      <c r="D222" s="7" t="n"/>
    </row>
    <row r="223">
      <c r="A223" s="21">
        <f>IF(B223="","",ROW()-4)</f>
        <v/>
      </c>
      <c r="B223" s="7" t="n"/>
      <c r="C223" s="22">
        <f>IF(B223="","",IFERROR(VLOOKUP(B223,'Guest Directory'!$A$5:$B$304,2,FALSE),""))</f>
        <v/>
      </c>
      <c r="D223" s="7" t="n"/>
    </row>
    <row r="224">
      <c r="A224" s="21">
        <f>IF(B224="","",ROW()-4)</f>
        <v/>
      </c>
      <c r="B224" s="7" t="n"/>
      <c r="C224" s="22">
        <f>IF(B224="","",IFERROR(VLOOKUP(B224,'Guest Directory'!$A$5:$B$304,2,FALSE),""))</f>
        <v/>
      </c>
      <c r="D224" s="7" t="n"/>
    </row>
    <row r="225">
      <c r="A225" s="21">
        <f>IF(B225="","",ROW()-4)</f>
        <v/>
      </c>
      <c r="B225" s="7" t="n"/>
      <c r="C225" s="22">
        <f>IF(B225="","",IFERROR(VLOOKUP(B225,'Guest Directory'!$A$5:$B$304,2,FALSE),""))</f>
        <v/>
      </c>
      <c r="D225" s="7" t="n"/>
    </row>
    <row r="226">
      <c r="A226" s="21">
        <f>IF(B226="","",ROW()-4)</f>
        <v/>
      </c>
      <c r="B226" s="7" t="n"/>
      <c r="C226" s="22">
        <f>IF(B226="","",IFERROR(VLOOKUP(B226,'Guest Directory'!$A$5:$B$304,2,FALSE),""))</f>
        <v/>
      </c>
      <c r="D226" s="7" t="n"/>
    </row>
    <row r="227">
      <c r="A227" s="21">
        <f>IF(B227="","",ROW()-4)</f>
        <v/>
      </c>
      <c r="B227" s="7" t="n"/>
      <c r="C227" s="22">
        <f>IF(B227="","",IFERROR(VLOOKUP(B227,'Guest Directory'!$A$5:$B$304,2,FALSE),""))</f>
        <v/>
      </c>
      <c r="D227" s="7" t="n"/>
    </row>
    <row r="228">
      <c r="A228" s="21">
        <f>IF(B228="","",ROW()-4)</f>
        <v/>
      </c>
      <c r="B228" s="7" t="n"/>
      <c r="C228" s="22">
        <f>IF(B228="","",IFERROR(VLOOKUP(B228,'Guest Directory'!$A$5:$B$304,2,FALSE),""))</f>
        <v/>
      </c>
      <c r="D228" s="7" t="n"/>
    </row>
    <row r="229">
      <c r="A229" s="21">
        <f>IF(B229="","",ROW()-4)</f>
        <v/>
      </c>
      <c r="B229" s="7" t="n"/>
      <c r="C229" s="22">
        <f>IF(B229="","",IFERROR(VLOOKUP(B229,'Guest Directory'!$A$5:$B$304,2,FALSE),""))</f>
        <v/>
      </c>
      <c r="D229" s="7" t="n"/>
    </row>
    <row r="230">
      <c r="A230" s="21">
        <f>IF(B230="","",ROW()-4)</f>
        <v/>
      </c>
      <c r="B230" s="7" t="n"/>
      <c r="C230" s="22">
        <f>IF(B230="","",IFERROR(VLOOKUP(B230,'Guest Directory'!$A$5:$B$304,2,FALSE),""))</f>
        <v/>
      </c>
      <c r="D230" s="7" t="n"/>
    </row>
    <row r="231">
      <c r="A231" s="21">
        <f>IF(B231="","",ROW()-4)</f>
        <v/>
      </c>
      <c r="B231" s="7" t="n"/>
      <c r="C231" s="22">
        <f>IF(B231="","",IFERROR(VLOOKUP(B231,'Guest Directory'!$A$5:$B$304,2,FALSE),""))</f>
        <v/>
      </c>
      <c r="D231" s="7" t="n"/>
    </row>
    <row r="232">
      <c r="A232" s="21">
        <f>IF(B232="","",ROW()-4)</f>
        <v/>
      </c>
      <c r="B232" s="7" t="n"/>
      <c r="C232" s="22">
        <f>IF(B232="","",IFERROR(VLOOKUP(B232,'Guest Directory'!$A$5:$B$304,2,FALSE),""))</f>
        <v/>
      </c>
      <c r="D232" s="7" t="n"/>
    </row>
    <row r="233">
      <c r="A233" s="21">
        <f>IF(B233="","",ROW()-4)</f>
        <v/>
      </c>
      <c r="B233" s="7" t="n"/>
      <c r="C233" s="22">
        <f>IF(B233="","",IFERROR(VLOOKUP(B233,'Guest Directory'!$A$5:$B$304,2,FALSE),""))</f>
        <v/>
      </c>
      <c r="D233" s="7" t="n"/>
    </row>
    <row r="234">
      <c r="A234" s="21">
        <f>IF(B234="","",ROW()-4)</f>
        <v/>
      </c>
      <c r="B234" s="7" t="n"/>
      <c r="C234" s="22">
        <f>IF(B234="","",IFERROR(VLOOKUP(B234,'Guest Directory'!$A$5:$B$304,2,FALSE),""))</f>
        <v/>
      </c>
      <c r="D234" s="7" t="n"/>
    </row>
    <row r="235">
      <c r="A235" s="21">
        <f>IF(B235="","",ROW()-4)</f>
        <v/>
      </c>
      <c r="B235" s="7" t="n"/>
      <c r="C235" s="22">
        <f>IF(B235="","",IFERROR(VLOOKUP(B235,'Guest Directory'!$A$5:$B$304,2,FALSE),""))</f>
        <v/>
      </c>
      <c r="D235" s="7" t="n"/>
    </row>
    <row r="236">
      <c r="A236" s="21">
        <f>IF(B236="","",ROW()-4)</f>
        <v/>
      </c>
      <c r="B236" s="7" t="n"/>
      <c r="C236" s="22">
        <f>IF(B236="","",IFERROR(VLOOKUP(B236,'Guest Directory'!$A$5:$B$304,2,FALSE),""))</f>
        <v/>
      </c>
      <c r="D236" s="7" t="n"/>
    </row>
    <row r="237">
      <c r="A237" s="21">
        <f>IF(B237="","",ROW()-4)</f>
        <v/>
      </c>
      <c r="B237" s="7" t="n"/>
      <c r="C237" s="22">
        <f>IF(B237="","",IFERROR(VLOOKUP(B237,'Guest Directory'!$A$5:$B$304,2,FALSE),""))</f>
        <v/>
      </c>
      <c r="D237" s="7" t="n"/>
    </row>
    <row r="238">
      <c r="A238" s="21">
        <f>IF(B238="","",ROW()-4)</f>
        <v/>
      </c>
      <c r="B238" s="7" t="n"/>
      <c r="C238" s="22">
        <f>IF(B238="","",IFERROR(VLOOKUP(B238,'Guest Directory'!$A$5:$B$304,2,FALSE),""))</f>
        <v/>
      </c>
      <c r="D238" s="7" t="n"/>
    </row>
    <row r="239">
      <c r="A239" s="21">
        <f>IF(B239="","",ROW()-4)</f>
        <v/>
      </c>
      <c r="B239" s="7" t="n"/>
      <c r="C239" s="22">
        <f>IF(B239="","",IFERROR(VLOOKUP(B239,'Guest Directory'!$A$5:$B$304,2,FALSE),""))</f>
        <v/>
      </c>
      <c r="D239" s="7" t="n"/>
    </row>
    <row r="240">
      <c r="A240" s="21">
        <f>IF(B240="","",ROW()-4)</f>
        <v/>
      </c>
      <c r="B240" s="7" t="n"/>
      <c r="C240" s="22">
        <f>IF(B240="","",IFERROR(VLOOKUP(B240,'Guest Directory'!$A$5:$B$304,2,FALSE),""))</f>
        <v/>
      </c>
      <c r="D240" s="7" t="n"/>
    </row>
    <row r="241">
      <c r="A241" s="21">
        <f>IF(B241="","",ROW()-4)</f>
        <v/>
      </c>
      <c r="B241" s="7" t="n"/>
      <c r="C241" s="22">
        <f>IF(B241="","",IFERROR(VLOOKUP(B241,'Guest Directory'!$A$5:$B$304,2,FALSE),""))</f>
        <v/>
      </c>
      <c r="D241" s="7" t="n"/>
    </row>
    <row r="242">
      <c r="A242" s="21">
        <f>IF(B242="","",ROW()-4)</f>
        <v/>
      </c>
      <c r="B242" s="7" t="n"/>
      <c r="C242" s="22">
        <f>IF(B242="","",IFERROR(VLOOKUP(B242,'Guest Directory'!$A$5:$B$304,2,FALSE),""))</f>
        <v/>
      </c>
      <c r="D242" s="7" t="n"/>
    </row>
    <row r="243">
      <c r="A243" s="21">
        <f>IF(B243="","",ROW()-4)</f>
        <v/>
      </c>
      <c r="B243" s="7" t="n"/>
      <c r="C243" s="22">
        <f>IF(B243="","",IFERROR(VLOOKUP(B243,'Guest Directory'!$A$5:$B$304,2,FALSE),""))</f>
        <v/>
      </c>
      <c r="D243" s="7" t="n"/>
    </row>
    <row r="244">
      <c r="A244" s="21">
        <f>IF(B244="","",ROW()-4)</f>
        <v/>
      </c>
      <c r="B244" s="7" t="n"/>
      <c r="C244" s="22">
        <f>IF(B244="","",IFERROR(VLOOKUP(B244,'Guest Directory'!$A$5:$B$304,2,FALSE),""))</f>
        <v/>
      </c>
      <c r="D244" s="7" t="n"/>
    </row>
    <row r="245">
      <c r="A245" s="21">
        <f>IF(B245="","",ROW()-4)</f>
        <v/>
      </c>
      <c r="B245" s="7" t="n"/>
      <c r="C245" s="22">
        <f>IF(B245="","",IFERROR(VLOOKUP(B245,'Guest Directory'!$A$5:$B$304,2,FALSE),""))</f>
        <v/>
      </c>
      <c r="D245" s="7" t="n"/>
    </row>
    <row r="246">
      <c r="A246" s="21">
        <f>IF(B246="","",ROW()-4)</f>
        <v/>
      </c>
      <c r="B246" s="7" t="n"/>
      <c r="C246" s="22">
        <f>IF(B246="","",IFERROR(VLOOKUP(B246,'Guest Directory'!$A$5:$B$304,2,FALSE),""))</f>
        <v/>
      </c>
      <c r="D246" s="7" t="n"/>
    </row>
    <row r="247">
      <c r="A247" s="21">
        <f>IF(B247="","",ROW()-4)</f>
        <v/>
      </c>
      <c r="B247" s="7" t="n"/>
      <c r="C247" s="22">
        <f>IF(B247="","",IFERROR(VLOOKUP(B247,'Guest Directory'!$A$5:$B$304,2,FALSE),""))</f>
        <v/>
      </c>
      <c r="D247" s="7" t="n"/>
    </row>
    <row r="248">
      <c r="A248" s="21">
        <f>IF(B248="","",ROW()-4)</f>
        <v/>
      </c>
      <c r="B248" s="7" t="n"/>
      <c r="C248" s="22">
        <f>IF(B248="","",IFERROR(VLOOKUP(B248,'Guest Directory'!$A$5:$B$304,2,FALSE),""))</f>
        <v/>
      </c>
      <c r="D248" s="7" t="n"/>
    </row>
    <row r="249">
      <c r="A249" s="21">
        <f>IF(B249="","",ROW()-4)</f>
        <v/>
      </c>
      <c r="B249" s="7" t="n"/>
      <c r="C249" s="22">
        <f>IF(B249="","",IFERROR(VLOOKUP(B249,'Guest Directory'!$A$5:$B$304,2,FALSE),""))</f>
        <v/>
      </c>
      <c r="D249" s="7" t="n"/>
    </row>
    <row r="250">
      <c r="A250" s="21">
        <f>IF(B250="","",ROW()-4)</f>
        <v/>
      </c>
      <c r="B250" s="7" t="n"/>
      <c r="C250" s="22">
        <f>IF(B250="","",IFERROR(VLOOKUP(B250,'Guest Directory'!$A$5:$B$304,2,FALSE),""))</f>
        <v/>
      </c>
      <c r="D250" s="7" t="n"/>
    </row>
    <row r="251">
      <c r="A251" s="21">
        <f>IF(B251="","",ROW()-4)</f>
        <v/>
      </c>
      <c r="B251" s="7" t="n"/>
      <c r="C251" s="22">
        <f>IF(B251="","",IFERROR(VLOOKUP(B251,'Guest Directory'!$A$5:$B$304,2,FALSE),""))</f>
        <v/>
      </c>
      <c r="D251" s="7" t="n"/>
    </row>
    <row r="252">
      <c r="A252" s="21">
        <f>IF(B252="","",ROW()-4)</f>
        <v/>
      </c>
      <c r="B252" s="7" t="n"/>
      <c r="C252" s="22">
        <f>IF(B252="","",IFERROR(VLOOKUP(B252,'Guest Directory'!$A$5:$B$304,2,FALSE),""))</f>
        <v/>
      </c>
      <c r="D252" s="7" t="n"/>
    </row>
    <row r="253">
      <c r="A253" s="21">
        <f>IF(B253="","",ROW()-4)</f>
        <v/>
      </c>
      <c r="B253" s="7" t="n"/>
      <c r="C253" s="22">
        <f>IF(B253="","",IFERROR(VLOOKUP(B253,'Guest Directory'!$A$5:$B$304,2,FALSE),""))</f>
        <v/>
      </c>
      <c r="D253" s="7" t="n"/>
    </row>
    <row r="254">
      <c r="A254" s="21">
        <f>IF(B254="","",ROW()-4)</f>
        <v/>
      </c>
      <c r="B254" s="7" t="n"/>
      <c r="C254" s="22">
        <f>IF(B254="","",IFERROR(VLOOKUP(B254,'Guest Directory'!$A$5:$B$304,2,FALSE),""))</f>
        <v/>
      </c>
      <c r="D254" s="7" t="n"/>
    </row>
    <row r="255">
      <c r="A255" s="21">
        <f>IF(B255="","",ROW()-4)</f>
        <v/>
      </c>
      <c r="B255" s="7" t="n"/>
      <c r="C255" s="22">
        <f>IF(B255="","",IFERROR(VLOOKUP(B255,'Guest Directory'!$A$5:$B$304,2,FALSE),""))</f>
        <v/>
      </c>
      <c r="D255" s="7" t="n"/>
    </row>
    <row r="256">
      <c r="A256" s="21">
        <f>IF(B256="","",ROW()-4)</f>
        <v/>
      </c>
      <c r="B256" s="7" t="n"/>
      <c r="C256" s="22">
        <f>IF(B256="","",IFERROR(VLOOKUP(B256,'Guest Directory'!$A$5:$B$304,2,FALSE),""))</f>
        <v/>
      </c>
      <c r="D256" s="7" t="n"/>
    </row>
    <row r="257">
      <c r="A257" s="21">
        <f>IF(B257="","",ROW()-4)</f>
        <v/>
      </c>
      <c r="B257" s="7" t="n"/>
      <c r="C257" s="22">
        <f>IF(B257="","",IFERROR(VLOOKUP(B257,'Guest Directory'!$A$5:$B$304,2,FALSE),""))</f>
        <v/>
      </c>
      <c r="D257" s="7" t="n"/>
    </row>
    <row r="258">
      <c r="A258" s="21">
        <f>IF(B258="","",ROW()-4)</f>
        <v/>
      </c>
      <c r="B258" s="7" t="n"/>
      <c r="C258" s="22">
        <f>IF(B258="","",IFERROR(VLOOKUP(B258,'Guest Directory'!$A$5:$B$304,2,FALSE),""))</f>
        <v/>
      </c>
      <c r="D258" s="7" t="n"/>
    </row>
    <row r="259">
      <c r="A259" s="21">
        <f>IF(B259="","",ROW()-4)</f>
        <v/>
      </c>
      <c r="B259" s="7" t="n"/>
      <c r="C259" s="22">
        <f>IF(B259="","",IFERROR(VLOOKUP(B259,'Guest Directory'!$A$5:$B$304,2,FALSE),""))</f>
        <v/>
      </c>
      <c r="D259" s="7" t="n"/>
    </row>
    <row r="260">
      <c r="A260" s="21">
        <f>IF(B260="","",ROW()-4)</f>
        <v/>
      </c>
      <c r="B260" s="7" t="n"/>
      <c r="C260" s="22">
        <f>IF(B260="","",IFERROR(VLOOKUP(B260,'Guest Directory'!$A$5:$B$304,2,FALSE),""))</f>
        <v/>
      </c>
      <c r="D260" s="7" t="n"/>
    </row>
    <row r="261">
      <c r="A261" s="21">
        <f>IF(B261="","",ROW()-4)</f>
        <v/>
      </c>
      <c r="B261" s="7" t="n"/>
      <c r="C261" s="22">
        <f>IF(B261="","",IFERROR(VLOOKUP(B261,'Guest Directory'!$A$5:$B$304,2,FALSE),""))</f>
        <v/>
      </c>
      <c r="D261" s="7" t="n"/>
    </row>
    <row r="262">
      <c r="A262" s="21">
        <f>IF(B262="","",ROW()-4)</f>
        <v/>
      </c>
      <c r="B262" s="7" t="n"/>
      <c r="C262" s="22">
        <f>IF(B262="","",IFERROR(VLOOKUP(B262,'Guest Directory'!$A$5:$B$304,2,FALSE),""))</f>
        <v/>
      </c>
      <c r="D262" s="7" t="n"/>
    </row>
    <row r="263">
      <c r="A263" s="21">
        <f>IF(B263="","",ROW()-4)</f>
        <v/>
      </c>
      <c r="B263" s="7" t="n"/>
      <c r="C263" s="22">
        <f>IF(B263="","",IFERROR(VLOOKUP(B263,'Guest Directory'!$A$5:$B$304,2,FALSE),""))</f>
        <v/>
      </c>
      <c r="D263" s="7" t="n"/>
    </row>
    <row r="264">
      <c r="A264" s="21">
        <f>IF(B264="","",ROW()-4)</f>
        <v/>
      </c>
      <c r="B264" s="7" t="n"/>
      <c r="C264" s="22">
        <f>IF(B264="","",IFERROR(VLOOKUP(B264,'Guest Directory'!$A$5:$B$304,2,FALSE),""))</f>
        <v/>
      </c>
      <c r="D264" s="7" t="n"/>
    </row>
    <row r="265">
      <c r="A265" s="21">
        <f>IF(B265="","",ROW()-4)</f>
        <v/>
      </c>
      <c r="B265" s="7" t="n"/>
      <c r="C265" s="22">
        <f>IF(B265="","",IFERROR(VLOOKUP(B265,'Guest Directory'!$A$5:$B$304,2,FALSE),""))</f>
        <v/>
      </c>
      <c r="D265" s="7" t="n"/>
    </row>
    <row r="266">
      <c r="A266" s="21">
        <f>IF(B266="","",ROW()-4)</f>
        <v/>
      </c>
      <c r="B266" s="7" t="n"/>
      <c r="C266" s="22">
        <f>IF(B266="","",IFERROR(VLOOKUP(B266,'Guest Directory'!$A$5:$B$304,2,FALSE),""))</f>
        <v/>
      </c>
      <c r="D266" s="7" t="n"/>
    </row>
    <row r="267">
      <c r="A267" s="21">
        <f>IF(B267="","",ROW()-4)</f>
        <v/>
      </c>
      <c r="B267" s="7" t="n"/>
      <c r="C267" s="22">
        <f>IF(B267="","",IFERROR(VLOOKUP(B267,'Guest Directory'!$A$5:$B$304,2,FALSE),""))</f>
        <v/>
      </c>
      <c r="D267" s="7" t="n"/>
    </row>
    <row r="268">
      <c r="A268" s="21">
        <f>IF(B268="","",ROW()-4)</f>
        <v/>
      </c>
      <c r="B268" s="7" t="n"/>
      <c r="C268" s="22">
        <f>IF(B268="","",IFERROR(VLOOKUP(B268,'Guest Directory'!$A$5:$B$304,2,FALSE),""))</f>
        <v/>
      </c>
      <c r="D268" s="7" t="n"/>
    </row>
    <row r="269">
      <c r="A269" s="21">
        <f>IF(B269="","",ROW()-4)</f>
        <v/>
      </c>
      <c r="B269" s="7" t="n"/>
      <c r="C269" s="22">
        <f>IF(B269="","",IFERROR(VLOOKUP(B269,'Guest Directory'!$A$5:$B$304,2,FALSE),""))</f>
        <v/>
      </c>
      <c r="D269" s="7" t="n"/>
    </row>
    <row r="270">
      <c r="A270" s="21">
        <f>IF(B270="","",ROW()-4)</f>
        <v/>
      </c>
      <c r="B270" s="7" t="n"/>
      <c r="C270" s="22">
        <f>IF(B270="","",IFERROR(VLOOKUP(B270,'Guest Directory'!$A$5:$B$304,2,FALSE),""))</f>
        <v/>
      </c>
      <c r="D270" s="7" t="n"/>
    </row>
    <row r="271">
      <c r="A271" s="21">
        <f>IF(B271="","",ROW()-4)</f>
        <v/>
      </c>
      <c r="B271" s="7" t="n"/>
      <c r="C271" s="22">
        <f>IF(B271="","",IFERROR(VLOOKUP(B271,'Guest Directory'!$A$5:$B$304,2,FALSE),""))</f>
        <v/>
      </c>
      <c r="D271" s="7" t="n"/>
    </row>
    <row r="272">
      <c r="A272" s="21">
        <f>IF(B272="","",ROW()-4)</f>
        <v/>
      </c>
      <c r="B272" s="7" t="n"/>
      <c r="C272" s="22">
        <f>IF(B272="","",IFERROR(VLOOKUP(B272,'Guest Directory'!$A$5:$B$304,2,FALSE),""))</f>
        <v/>
      </c>
      <c r="D272" s="7" t="n"/>
    </row>
    <row r="273">
      <c r="A273" s="21">
        <f>IF(B273="","",ROW()-4)</f>
        <v/>
      </c>
      <c r="B273" s="7" t="n"/>
      <c r="C273" s="22">
        <f>IF(B273="","",IFERROR(VLOOKUP(B273,'Guest Directory'!$A$5:$B$304,2,FALSE),""))</f>
        <v/>
      </c>
      <c r="D273" s="7" t="n"/>
    </row>
    <row r="274">
      <c r="A274" s="21">
        <f>IF(B274="","",ROW()-4)</f>
        <v/>
      </c>
      <c r="B274" s="7" t="n"/>
      <c r="C274" s="22">
        <f>IF(B274="","",IFERROR(VLOOKUP(B274,'Guest Directory'!$A$5:$B$304,2,FALSE),""))</f>
        <v/>
      </c>
      <c r="D274" s="7" t="n"/>
    </row>
    <row r="275">
      <c r="A275" s="21">
        <f>IF(B275="","",ROW()-4)</f>
        <v/>
      </c>
      <c r="B275" s="7" t="n"/>
      <c r="C275" s="22">
        <f>IF(B275="","",IFERROR(VLOOKUP(B275,'Guest Directory'!$A$5:$B$304,2,FALSE),""))</f>
        <v/>
      </c>
      <c r="D275" s="7" t="n"/>
    </row>
    <row r="276">
      <c r="A276" s="21">
        <f>IF(B276="","",ROW()-4)</f>
        <v/>
      </c>
      <c r="B276" s="7" t="n"/>
      <c r="C276" s="22">
        <f>IF(B276="","",IFERROR(VLOOKUP(B276,'Guest Directory'!$A$5:$B$304,2,FALSE),""))</f>
        <v/>
      </c>
      <c r="D276" s="7" t="n"/>
    </row>
    <row r="277">
      <c r="A277" s="21">
        <f>IF(B277="","",ROW()-4)</f>
        <v/>
      </c>
      <c r="B277" s="7" t="n"/>
      <c r="C277" s="22">
        <f>IF(B277="","",IFERROR(VLOOKUP(B277,'Guest Directory'!$A$5:$B$304,2,FALSE),""))</f>
        <v/>
      </c>
      <c r="D277" s="7" t="n"/>
    </row>
    <row r="278">
      <c r="A278" s="21">
        <f>IF(B278="","",ROW()-4)</f>
        <v/>
      </c>
      <c r="B278" s="7" t="n"/>
      <c r="C278" s="22">
        <f>IF(B278="","",IFERROR(VLOOKUP(B278,'Guest Directory'!$A$5:$B$304,2,FALSE),""))</f>
        <v/>
      </c>
      <c r="D278" s="7" t="n"/>
    </row>
    <row r="279">
      <c r="A279" s="21">
        <f>IF(B279="","",ROW()-4)</f>
        <v/>
      </c>
      <c r="B279" s="7" t="n"/>
      <c r="C279" s="22">
        <f>IF(B279="","",IFERROR(VLOOKUP(B279,'Guest Directory'!$A$5:$B$304,2,FALSE),""))</f>
        <v/>
      </c>
      <c r="D279" s="7" t="n"/>
    </row>
    <row r="280">
      <c r="A280" s="21">
        <f>IF(B280="","",ROW()-4)</f>
        <v/>
      </c>
      <c r="B280" s="7" t="n"/>
      <c r="C280" s="22">
        <f>IF(B280="","",IFERROR(VLOOKUP(B280,'Guest Directory'!$A$5:$B$304,2,FALSE),""))</f>
        <v/>
      </c>
      <c r="D280" s="7" t="n"/>
    </row>
    <row r="281">
      <c r="A281" s="21">
        <f>IF(B281="","",ROW()-4)</f>
        <v/>
      </c>
      <c r="B281" s="7" t="n"/>
      <c r="C281" s="22">
        <f>IF(B281="","",IFERROR(VLOOKUP(B281,'Guest Directory'!$A$5:$B$304,2,FALSE),""))</f>
        <v/>
      </c>
      <c r="D281" s="7" t="n"/>
    </row>
    <row r="282">
      <c r="A282" s="21">
        <f>IF(B282="","",ROW()-4)</f>
        <v/>
      </c>
      <c r="B282" s="7" t="n"/>
      <c r="C282" s="22">
        <f>IF(B282="","",IFERROR(VLOOKUP(B282,'Guest Directory'!$A$5:$B$304,2,FALSE),""))</f>
        <v/>
      </c>
      <c r="D282" s="7" t="n"/>
    </row>
    <row r="283">
      <c r="A283" s="21">
        <f>IF(B283="","",ROW()-4)</f>
        <v/>
      </c>
      <c r="B283" s="7" t="n"/>
      <c r="C283" s="22">
        <f>IF(B283="","",IFERROR(VLOOKUP(B283,'Guest Directory'!$A$5:$B$304,2,FALSE),""))</f>
        <v/>
      </c>
      <c r="D283" s="7" t="n"/>
    </row>
    <row r="284">
      <c r="A284" s="21">
        <f>IF(B284="","",ROW()-4)</f>
        <v/>
      </c>
      <c r="B284" s="7" t="n"/>
      <c r="C284" s="22">
        <f>IF(B284="","",IFERROR(VLOOKUP(B284,'Guest Directory'!$A$5:$B$304,2,FALSE),""))</f>
        <v/>
      </c>
      <c r="D284" s="7" t="n"/>
    </row>
    <row r="285">
      <c r="A285" s="21">
        <f>IF(B285="","",ROW()-4)</f>
        <v/>
      </c>
      <c r="B285" s="7" t="n"/>
      <c r="C285" s="22">
        <f>IF(B285="","",IFERROR(VLOOKUP(B285,'Guest Directory'!$A$5:$B$304,2,FALSE),""))</f>
        <v/>
      </c>
      <c r="D285" s="7" t="n"/>
    </row>
    <row r="286">
      <c r="A286" s="21">
        <f>IF(B286="","",ROW()-4)</f>
        <v/>
      </c>
      <c r="B286" s="7" t="n"/>
      <c r="C286" s="22">
        <f>IF(B286="","",IFERROR(VLOOKUP(B286,'Guest Directory'!$A$5:$B$304,2,FALSE),""))</f>
        <v/>
      </c>
      <c r="D286" s="7" t="n"/>
    </row>
    <row r="287">
      <c r="A287" s="21">
        <f>IF(B287="","",ROW()-4)</f>
        <v/>
      </c>
      <c r="B287" s="7" t="n"/>
      <c r="C287" s="22">
        <f>IF(B287="","",IFERROR(VLOOKUP(B287,'Guest Directory'!$A$5:$B$304,2,FALSE),""))</f>
        <v/>
      </c>
      <c r="D287" s="7" t="n"/>
    </row>
    <row r="288">
      <c r="A288" s="21">
        <f>IF(B288="","",ROW()-4)</f>
        <v/>
      </c>
      <c r="B288" s="7" t="n"/>
      <c r="C288" s="22">
        <f>IF(B288="","",IFERROR(VLOOKUP(B288,'Guest Directory'!$A$5:$B$304,2,FALSE),""))</f>
        <v/>
      </c>
      <c r="D288" s="7" t="n"/>
    </row>
    <row r="289">
      <c r="A289" s="21">
        <f>IF(B289="","",ROW()-4)</f>
        <v/>
      </c>
      <c r="B289" s="7" t="n"/>
      <c r="C289" s="22">
        <f>IF(B289="","",IFERROR(VLOOKUP(B289,'Guest Directory'!$A$5:$B$304,2,FALSE),""))</f>
        <v/>
      </c>
      <c r="D289" s="7" t="n"/>
    </row>
    <row r="290">
      <c r="A290" s="21">
        <f>IF(B290="","",ROW()-4)</f>
        <v/>
      </c>
      <c r="B290" s="7" t="n"/>
      <c r="C290" s="22">
        <f>IF(B290="","",IFERROR(VLOOKUP(B290,'Guest Directory'!$A$5:$B$304,2,FALSE),""))</f>
        <v/>
      </c>
      <c r="D290" s="7" t="n"/>
    </row>
    <row r="291">
      <c r="A291" s="21">
        <f>IF(B291="","",ROW()-4)</f>
        <v/>
      </c>
      <c r="B291" s="7" t="n"/>
      <c r="C291" s="22">
        <f>IF(B291="","",IFERROR(VLOOKUP(B291,'Guest Directory'!$A$5:$B$304,2,FALSE),""))</f>
        <v/>
      </c>
      <c r="D291" s="7" t="n"/>
    </row>
    <row r="292">
      <c r="A292" s="21">
        <f>IF(B292="","",ROW()-4)</f>
        <v/>
      </c>
      <c r="B292" s="7" t="n"/>
      <c r="C292" s="22">
        <f>IF(B292="","",IFERROR(VLOOKUP(B292,'Guest Directory'!$A$5:$B$304,2,FALSE),""))</f>
        <v/>
      </c>
      <c r="D292" s="7" t="n"/>
    </row>
    <row r="293">
      <c r="A293" s="21">
        <f>IF(B293="","",ROW()-4)</f>
        <v/>
      </c>
      <c r="B293" s="7" t="n"/>
      <c r="C293" s="22">
        <f>IF(B293="","",IFERROR(VLOOKUP(B293,'Guest Directory'!$A$5:$B$304,2,FALSE),""))</f>
        <v/>
      </c>
      <c r="D293" s="7" t="n"/>
    </row>
    <row r="294">
      <c r="A294" s="21">
        <f>IF(B294="","",ROW()-4)</f>
        <v/>
      </c>
      <c r="B294" s="7" t="n"/>
      <c r="C294" s="22">
        <f>IF(B294="","",IFERROR(VLOOKUP(B294,'Guest Directory'!$A$5:$B$304,2,FALSE),""))</f>
        <v/>
      </c>
      <c r="D294" s="7" t="n"/>
    </row>
    <row r="295">
      <c r="A295" s="21">
        <f>IF(B295="","",ROW()-4)</f>
        <v/>
      </c>
      <c r="B295" s="7" t="n"/>
      <c r="C295" s="22">
        <f>IF(B295="","",IFERROR(VLOOKUP(B295,'Guest Directory'!$A$5:$B$304,2,FALSE),""))</f>
        <v/>
      </c>
      <c r="D295" s="7" t="n"/>
    </row>
    <row r="296">
      <c r="A296" s="21">
        <f>IF(B296="","",ROW()-4)</f>
        <v/>
      </c>
      <c r="B296" s="7" t="n"/>
      <c r="C296" s="22">
        <f>IF(B296="","",IFERROR(VLOOKUP(B296,'Guest Directory'!$A$5:$B$304,2,FALSE),""))</f>
        <v/>
      </c>
      <c r="D296" s="7" t="n"/>
    </row>
    <row r="297">
      <c r="A297" s="21">
        <f>IF(B297="","",ROW()-4)</f>
        <v/>
      </c>
      <c r="B297" s="7" t="n"/>
      <c r="C297" s="22">
        <f>IF(B297="","",IFERROR(VLOOKUP(B297,'Guest Directory'!$A$5:$B$304,2,FALSE),""))</f>
        <v/>
      </c>
      <c r="D297" s="7" t="n"/>
    </row>
    <row r="298">
      <c r="A298" s="21">
        <f>IF(B298="","",ROW()-4)</f>
        <v/>
      </c>
      <c r="B298" s="7" t="n"/>
      <c r="C298" s="22">
        <f>IF(B298="","",IFERROR(VLOOKUP(B298,'Guest Directory'!$A$5:$B$304,2,FALSE),""))</f>
        <v/>
      </c>
      <c r="D298" s="7" t="n"/>
    </row>
    <row r="299">
      <c r="A299" s="21">
        <f>IF(B299="","",ROW()-4)</f>
        <v/>
      </c>
      <c r="B299" s="7" t="n"/>
      <c r="C299" s="22">
        <f>IF(B299="","",IFERROR(VLOOKUP(B299,'Guest Directory'!$A$5:$B$304,2,FALSE),""))</f>
        <v/>
      </c>
      <c r="D299" s="7" t="n"/>
    </row>
    <row r="300">
      <c r="A300" s="21">
        <f>IF(B300="","",ROW()-4)</f>
        <v/>
      </c>
      <c r="B300" s="7" t="n"/>
      <c r="C300" s="22">
        <f>IF(B300="","",IFERROR(VLOOKUP(B300,'Guest Directory'!$A$5:$B$304,2,FALSE),""))</f>
        <v/>
      </c>
      <c r="D300" s="7" t="n"/>
    </row>
    <row r="301">
      <c r="A301" s="21">
        <f>IF(B301="","",ROW()-4)</f>
        <v/>
      </c>
      <c r="B301" s="7" t="n"/>
      <c r="C301" s="22">
        <f>IF(B301="","",IFERROR(VLOOKUP(B301,'Guest Directory'!$A$5:$B$304,2,FALSE),""))</f>
        <v/>
      </c>
      <c r="D301" s="7" t="n"/>
    </row>
    <row r="302">
      <c r="A302" s="21">
        <f>IF(B302="","",ROW()-4)</f>
        <v/>
      </c>
      <c r="B302" s="7" t="n"/>
      <c r="C302" s="22">
        <f>IF(B302="","",IFERROR(VLOOKUP(B302,'Guest Directory'!$A$5:$B$304,2,FALSE),""))</f>
        <v/>
      </c>
      <c r="D302" s="7" t="n"/>
    </row>
    <row r="303">
      <c r="A303" s="21">
        <f>IF(B303="","",ROW()-4)</f>
        <v/>
      </c>
      <c r="B303" s="7" t="n"/>
      <c r="C303" s="22">
        <f>IF(B303="","",IFERROR(VLOOKUP(B303,'Guest Directory'!$A$5:$B$304,2,FALSE),""))</f>
        <v/>
      </c>
      <c r="D303" s="7" t="n"/>
    </row>
    <row r="304">
      <c r="A304" s="21">
        <f>IF(B304="","",ROW()-4)</f>
        <v/>
      </c>
      <c r="B304" s="7" t="n"/>
      <c r="C304" s="22">
        <f>IF(B304="","",IFERROR(VLOOKUP(B304,'Guest Directory'!$A$5:$B$304,2,FALSE),""))</f>
        <v/>
      </c>
      <c r="D304" s="7" t="n"/>
    </row>
  </sheetData>
  <conditionalFormatting sqref="C5:C304">
    <cfRule type="cellIs" priority="1" operator="lessThan" dxfId="0">
      <formula>0</formula>
    </cfRule>
  </conditionalFormatting>
  <dataValidations count="2">
    <dataValidation sqref="B5:B304" showDropDown="0" showInputMessage="1" showErrorMessage="0" allowBlank="1" promptTitle="Choose or type a guest" prompt="Choose a shared guest, or type a new name. Add new shared names to Guest Directory." type="list">
      <formula1>=GuestDirectoryNames</formula1>
    </dataValidation>
    <dataValidation sqref="C5:C304" showDropDown="0" showInputMessage="1" showErrorMessage="1" allowBlank="1" errorTitle="Whole numbers only" error="Use a whole number from 0 to 999." promptTitle="Enter a headcount" prompt="Enter a whole number from 0 to 999." type="whole" operator="between">
      <formula1>0</formula1>
      <formula2>999</formula2>
    </dataValidation>
  </dataValidations>
  <pageMargins left="0.75" right="0.75" top="1" bottom="1" header="0.5" footer="0.5"/>
  <pageSetup orientation="landscape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Cursor</dc:creator>
  <dc:title>Wedding Functions Guest List</dc:title>
  <dc:description>Excel Online-compatible collaborative guest-list workbook.</dc:description>
  <dc:subject>Editable guest lists for six wedding functions</dc:subject>
  <dcterms:created xsi:type="dcterms:W3CDTF">2026-08-02T15:34:09Z</dcterms:created>
  <dcterms:modified xsi:type="dcterms:W3CDTF">2026-08-02T15:34:09Z</dcterms:modified>
</cp:coreProperties>
</file>